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ken_aizawa\Downloads\"/>
    </mc:Choice>
  </mc:AlternateContent>
  <xr:revisionPtr revIDLastSave="0" documentId="13_ncr:1_{01EC72A0-DCFE-43B7-9164-76DCD89DF1AC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予定表" sheetId="1" r:id="rId1"/>
  </sheets>
  <definedNames>
    <definedName name="_xlnm.Print_Area" localSheetId="0">予定表!$B$2:$U$65</definedName>
    <definedName name="祝日表">予定表!$Z$5:$AB$39</definedName>
    <definedName name="日付">予定表!$Z$5:$Z$39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W5" i="1" l="1"/>
  <c r="W6" i="1"/>
  <c r="W7" i="1"/>
  <c r="W8" i="1"/>
  <c r="W9" i="1"/>
  <c r="X5" i="1"/>
  <c r="X6" i="1"/>
  <c r="X7" i="1"/>
  <c r="X8" i="1"/>
  <c r="X9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35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4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35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35" i="1"/>
  <c r="L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4" i="1"/>
  <c r="P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35" i="1"/>
  <c r="P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4" i="1"/>
  <c r="I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35" i="1"/>
  <c r="I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4" i="1"/>
  <c r="B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35" i="1"/>
  <c r="B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4" i="1"/>
  <c r="B3" i="1"/>
</calcChain>
</file>

<file path=xl/sharedStrings.xml><?xml version="1.0" encoding="utf-8"?>
<sst xmlns="http://schemas.openxmlformats.org/spreadsheetml/2006/main" count="103" uniqueCount="45">
  <si>
    <t>祝日表</t>
    <rPh sb="0" eb="3">
      <t>シュクジツヒョウ</t>
    </rPh>
    <phoneticPr fontId="2"/>
  </si>
  <si>
    <t>元日</t>
  </si>
  <si>
    <t>成人の日</t>
  </si>
  <si>
    <t>建国記念の日</t>
  </si>
  <si>
    <t>春分の日</t>
  </si>
  <si>
    <t>振替休日</t>
  </si>
  <si>
    <t>昭和の日</t>
  </si>
  <si>
    <t>憲法記念日</t>
  </si>
  <si>
    <t>みどりの日</t>
  </si>
  <si>
    <t>こどもの日</t>
  </si>
  <si>
    <t>海の日</t>
  </si>
  <si>
    <t>山の日</t>
  </si>
  <si>
    <t>敬老の日</t>
  </si>
  <si>
    <t>秋分の日</t>
  </si>
  <si>
    <t>体育の日</t>
  </si>
  <si>
    <t>文化の日</t>
  </si>
  <si>
    <t>勤労感謝の日</t>
  </si>
  <si>
    <t>天皇誕生日</t>
  </si>
  <si>
    <t>校了</t>
    <rPh sb="0" eb="2">
      <t>コウリョウ</t>
    </rPh>
    <phoneticPr fontId="2"/>
  </si>
  <si>
    <t>色校正お戻し</t>
    <rPh sb="0" eb="3">
      <t>イロコウセイ</t>
    </rPh>
    <rPh sb="4" eb="5">
      <t>モド</t>
    </rPh>
    <phoneticPr fontId="2"/>
  </si>
  <si>
    <t>色校正ご提出</t>
    <rPh sb="0" eb="3">
      <t>イロコウセイ</t>
    </rPh>
    <rPh sb="4" eb="6">
      <t>テイシュツ</t>
    </rPh>
    <phoneticPr fontId="2"/>
  </si>
  <si>
    <t>2ndデザイン提出</t>
    <rPh sb="7" eb="9">
      <t>テイシュツ</t>
    </rPh>
    <phoneticPr fontId="2"/>
  </si>
  <si>
    <t>2ndデザインお戻し</t>
    <rPh sb="8" eb="9">
      <t>モド</t>
    </rPh>
    <phoneticPr fontId="2"/>
  </si>
  <si>
    <t>最終デザイン提出</t>
    <rPh sb="0" eb="2">
      <t>サイシュウ</t>
    </rPh>
    <phoneticPr fontId="2"/>
  </si>
  <si>
    <t>1stデザイン提出</t>
    <rPh sb="7" eb="9">
      <t>テイシュツ</t>
    </rPh>
    <phoneticPr fontId="2"/>
  </si>
  <si>
    <t>1stラフデザイン方向性MTG</t>
    <rPh sb="9" eb="12">
      <t>ホウコウセイ</t>
    </rPh>
    <phoneticPr fontId="2"/>
  </si>
  <si>
    <t>オリエン（コンテンツ確認）</t>
    <rPh sb="10" eb="12">
      <t>カクニン</t>
    </rPh>
    <phoneticPr fontId="2"/>
  </si>
  <si>
    <t>2ndラフデザインMTG（コンテンツ内容決定）</t>
    <rPh sb="18" eb="22">
      <t>ナイヨウケッテイ</t>
    </rPh>
    <phoneticPr fontId="2"/>
  </si>
  <si>
    <t>クライアント様</t>
    <rPh sb="6" eb="7">
      <t>サマ</t>
    </rPh>
    <phoneticPr fontId="2"/>
  </si>
  <si>
    <t>CRI</t>
    <phoneticPr fontId="2"/>
  </si>
  <si>
    <t>会社パンフレット 制作スケジュール</t>
    <rPh sb="0" eb="2">
      <t>カイシャ</t>
    </rPh>
    <rPh sb="9" eb="11">
      <t>セイサク</t>
    </rPh>
    <phoneticPr fontId="2"/>
  </si>
  <si>
    <t>入稿</t>
    <rPh sb="0" eb="2">
      <t>ニュウコウ</t>
    </rPh>
    <phoneticPr fontId="2"/>
  </si>
  <si>
    <t>最終デザイン校了</t>
    <phoneticPr fontId="2"/>
  </si>
  <si>
    <t>1stデザインお戻し</t>
    <phoneticPr fontId="2"/>
  </si>
  <si>
    <t>納品</t>
    <rPh sb="0" eb="2">
      <t>ノウヒン</t>
    </rPh>
    <phoneticPr fontId="2"/>
  </si>
  <si>
    <t>印刷開始</t>
    <phoneticPr fontId="2"/>
  </si>
  <si>
    <t>コンセご提出</t>
    <phoneticPr fontId="2"/>
  </si>
  <si>
    <t>FUNCTION</t>
    <phoneticPr fontId="2"/>
  </si>
  <si>
    <t>月</t>
  </si>
  <si>
    <t>日</t>
  </si>
  <si>
    <t>水</t>
  </si>
  <si>
    <t>木</t>
  </si>
  <si>
    <t>金</t>
  </si>
  <si>
    <t>土</t>
  </si>
  <si>
    <t>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</si>
</sst>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aaa"/>
    <numFmt numFmtId="177" formatCode="##&quot;月&quot;"/>
    <numFmt numFmtId="178" formatCode="###0&quot;年〜&quot;"/>
    <numFmt numFmtId="179" formatCode="0_);[Red]\(0\)"/>
  </numFmts>
  <fonts count="12" x14ac:knownFonts="1">
    <font>
      <sz val="12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2"/>
      <color theme="10"/>
      <name val="ＭＳ Ｐゴシック"/>
      <family val="2"/>
      <charset val="128"/>
      <scheme val="minor"/>
    </font>
    <font>
      <u/>
      <sz val="12"/>
      <color theme="11"/>
      <name val="ＭＳ Ｐゴシック"/>
      <family val="2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12"/>
      <color theme="5" tint="0.39997558519241921"/>
      <name val="ＭＳ Ｐゴシック"/>
      <family val="2"/>
      <charset val="128"/>
      <scheme val="minor"/>
    </font>
    <font>
      <sz val="12"/>
      <color rgb="FF0000FF"/>
      <name val="ＭＳ Ｐゴシック"/>
      <family val="3"/>
      <charset val="128"/>
      <scheme val="minor"/>
    </font>
    <font>
      <sz val="12"/>
      <color theme="0" tint="-0.499984740745262"/>
      <name val="ＭＳ Ｐゴシック"/>
      <family val="3"/>
      <charset val="128"/>
      <scheme val="minor"/>
    </font>
    <font>
      <sz val="9"/>
      <color theme="0" tint="-0.499984740745262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8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38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0" fillId="0" borderId="1" xfId="0" applyBorder="1"/>
    <xf numFmtId="176" fontId="0" fillId="0" borderId="1" xfId="0" applyNumberFormat="1" applyBorder="1" applyAlignment="1">
      <alignment horizontal="center"/>
    </xf>
    <xf numFmtId="0" fontId="7" fillId="0" borderId="0" xfId="0" applyFont="1"/>
    <xf numFmtId="0" fontId="0" fillId="0" borderId="1" xfId="0" applyBorder="1" applyAlignment="1">
      <alignment shrinkToFit="1"/>
    </xf>
    <xf numFmtId="0" fontId="0" fillId="0" borderId="0" xfId="0" applyAlignment="1">
      <alignment horizontal="right"/>
    </xf>
    <xf numFmtId="0" fontId="0" fillId="0" borderId="0" xfId="0" applyAlignment="1">
      <alignment horizontal="center" shrinkToFit="1"/>
    </xf>
    <xf numFmtId="0" fontId="0" fillId="0" borderId="7" xfId="0" applyBorder="1"/>
    <xf numFmtId="0" fontId="7" fillId="0" borderId="7" xfId="0" applyFont="1" applyBorder="1" applyAlignment="1">
      <alignment horizontal="left"/>
    </xf>
    <xf numFmtId="0" fontId="7" fillId="0" borderId="8" xfId="0" applyFont="1" applyBorder="1"/>
    <xf numFmtId="0" fontId="9" fillId="2" borderId="5" xfId="0" applyFont="1" applyFill="1" applyBorder="1"/>
    <xf numFmtId="0" fontId="9" fillId="2" borderId="6" xfId="0" applyFont="1" applyFill="1" applyBorder="1"/>
    <xf numFmtId="0" fontId="0" fillId="0" borderId="3" xfId="0" applyBorder="1"/>
    <xf numFmtId="178" fontId="6" fillId="0" borderId="0" xfId="0" applyNumberFormat="1" applyFont="1" applyAlignment="1">
      <alignment horizontal="center" vertical="center" wrapText="1"/>
    </xf>
    <xf numFmtId="176" fontId="8" fillId="0" borderId="3" xfId="0" applyNumberFormat="1" applyFont="1" applyBorder="1" applyAlignment="1">
      <alignment horizontal="left"/>
    </xf>
    <xf numFmtId="176" fontId="8" fillId="0" borderId="1" xfId="0" applyNumberFormat="1" applyFont="1" applyBorder="1" applyAlignment="1">
      <alignment horizontal="left"/>
    </xf>
    <xf numFmtId="0" fontId="10" fillId="0" borderId="9" xfId="0" applyFont="1" applyBorder="1"/>
    <xf numFmtId="0" fontId="10" fillId="0" borderId="0" xfId="0" applyFont="1"/>
    <xf numFmtId="14" fontId="11" fillId="0" borderId="0" xfId="0" applyNumberFormat="1" applyFont="1" applyAlignment="1">
      <alignment horizontal="left" vertical="center" wrapText="1"/>
    </xf>
    <xf numFmtId="0" fontId="11" fillId="0" borderId="10" xfId="0" applyFont="1" applyBorder="1" applyAlignment="1">
      <alignment vertical="center" wrapText="1"/>
    </xf>
    <xf numFmtId="0" fontId="11" fillId="0" borderId="0" xfId="0" applyFont="1" applyAlignment="1">
      <alignment horizontal="left"/>
    </xf>
    <xf numFmtId="0" fontId="11" fillId="0" borderId="10" xfId="0" applyFont="1" applyBorder="1"/>
    <xf numFmtId="14" fontId="11" fillId="0" borderId="0" xfId="0" applyNumberFormat="1" applyFont="1" applyAlignment="1">
      <alignment horizontal="left"/>
    </xf>
    <xf numFmtId="14" fontId="11" fillId="0" borderId="12" xfId="0" applyNumberFormat="1" applyFont="1" applyBorder="1" applyAlignment="1">
      <alignment horizontal="left"/>
    </xf>
    <xf numFmtId="14" fontId="11" fillId="0" borderId="12" xfId="0" applyNumberFormat="1" applyFont="1" applyBorder="1" applyAlignment="1">
      <alignment horizontal="left" vertical="center" wrapText="1"/>
    </xf>
    <xf numFmtId="0" fontId="11" fillId="0" borderId="13" xfId="0" applyFont="1" applyBorder="1" applyAlignment="1">
      <alignment vertical="center" wrapText="1"/>
    </xf>
    <xf numFmtId="0" fontId="11" fillId="0" borderId="7" xfId="0" applyFont="1" applyBorder="1" applyAlignment="1">
      <alignment horizontal="left"/>
    </xf>
    <xf numFmtId="0" fontId="0" fillId="0" borderId="15" xfId="0" applyBorder="1"/>
    <xf numFmtId="176" fontId="0" fillId="0" borderId="15" xfId="0" applyNumberFormat="1" applyBorder="1" applyAlignment="1">
      <alignment horizontal="center"/>
    </xf>
    <xf numFmtId="0" fontId="0" fillId="0" borderId="14" xfId="0" applyBorder="1"/>
    <xf numFmtId="0" fontId="10" fillId="0" borderId="1" xfId="0" applyFont="1" applyBorder="1"/>
    <xf numFmtId="0" fontId="10" fillId="0" borderId="16" xfId="0" applyFont="1" applyBorder="1"/>
    <xf numFmtId="38" fontId="7" fillId="0" borderId="0" xfId="115" applyFont="1"/>
    <xf numFmtId="179" fontId="7" fillId="0" borderId="0" xfId="0" applyNumberFormat="1" applyFont="1"/>
    <xf numFmtId="0" fontId="0" fillId="0" borderId="9" xfId="0" applyBorder="1"/>
    <xf numFmtId="38" fontId="0" fillId="0" borderId="9" xfId="115" applyFont="1" applyBorder="1" applyAlignment="1">
      <alignment shrinkToFit="1"/>
    </xf>
    <xf numFmtId="0" fontId="0" fillId="0" borderId="9" xfId="0" applyBorder="1" applyAlignment="1">
      <alignment shrinkToFit="1"/>
    </xf>
    <xf numFmtId="0" fontId="0" fillId="0" borderId="11" xfId="0" applyBorder="1"/>
    <xf numFmtId="0" fontId="0" fillId="0" borderId="12" xfId="0" applyBorder="1"/>
    <xf numFmtId="177" fontId="0" fillId="0" borderId="1" xfId="0" applyNumberFormat="1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5" xfId="0" applyNumberFormat="1" applyBorder="1" applyAlignment="1">
      <alignment horizontal="center" vertical="top"/>
    </xf>
    <xf numFmtId="178" fontId="6" fillId="0" borderId="2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 shrinkToFit="1"/>
    </xf>
    <xf numFmtId="0" fontId="0" fillId="0" borderId="4" xfId="0" applyBorder="1" applyAlignment="1">
      <alignment horizontal="center" shrinkToFit="1"/>
    </xf>
  </cellXfs>
  <cellStyles count="118">
    <cellStyle name="ハイパーリンク" xfId="1" builtinId="8" hidden="1"/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ハイパーリンク" xfId="27" builtinId="8" hidden="1"/>
    <cellStyle name="ハイパーリンク" xfId="29" builtinId="8" hidden="1"/>
    <cellStyle name="ハイパーリンク" xfId="31" builtinId="8" hidden="1"/>
    <cellStyle name="ハイパーリンク" xfId="33" builtinId="8" hidden="1"/>
    <cellStyle name="ハイパーリンク" xfId="35" builtinId="8" hidden="1"/>
    <cellStyle name="ハイパーリンク" xfId="37" builtinId="8" hidden="1"/>
    <cellStyle name="ハイパーリンク" xfId="39" builtinId="8" hidden="1"/>
    <cellStyle name="ハイパーリンク" xfId="41" builtinId="8" hidden="1"/>
    <cellStyle name="ハイパーリンク" xfId="43" builtinId="8" hidden="1"/>
    <cellStyle name="ハイパーリンク" xfId="45" builtinId="8" hidden="1"/>
    <cellStyle name="ハイパーリンク" xfId="47" builtinId="8" hidden="1"/>
    <cellStyle name="ハイパーリンク" xfId="49" builtinId="8" hidden="1"/>
    <cellStyle name="ハイパーリンク" xfId="51" builtinId="8" hidden="1"/>
    <cellStyle name="ハイパーリンク" xfId="53" builtinId="8" hidden="1"/>
    <cellStyle name="ハイパーリンク" xfId="55" builtinId="8" hidden="1"/>
    <cellStyle name="ハイパーリンク" xfId="57" builtinId="8" hidden="1"/>
    <cellStyle name="ハイパーリンク" xfId="59" builtinId="8" hidden="1"/>
    <cellStyle name="ハイパーリンク" xfId="61" builtinId="8" hidden="1"/>
    <cellStyle name="ハイパーリンク" xfId="63" builtinId="8" hidden="1"/>
    <cellStyle name="ハイパーリンク" xfId="65" builtinId="8" hidden="1"/>
    <cellStyle name="ハイパーリンク" xfId="67" builtinId="8" hidden="1"/>
    <cellStyle name="ハイパーリンク" xfId="69" builtinId="8" hidden="1"/>
    <cellStyle name="ハイパーリンク" xfId="71" builtinId="8" hidden="1"/>
    <cellStyle name="ハイパーリンク" xfId="73" builtinId="8" hidden="1"/>
    <cellStyle name="ハイパーリンク" xfId="75" builtinId="8" hidden="1"/>
    <cellStyle name="ハイパーリンク" xfId="77" builtinId="8" hidden="1"/>
    <cellStyle name="ハイパーリンク" xfId="79" builtinId="8" hidden="1"/>
    <cellStyle name="ハイパーリンク" xfId="81" builtinId="8" hidden="1"/>
    <cellStyle name="ハイパーリンク" xfId="83" builtinId="8" hidden="1"/>
    <cellStyle name="ハイパーリンク" xfId="85" builtinId="8" hidden="1"/>
    <cellStyle name="ハイパーリンク" xfId="87" builtinId="8" hidden="1"/>
    <cellStyle name="ハイパーリンク" xfId="89" builtinId="8" hidden="1"/>
    <cellStyle name="ハイパーリンク" xfId="91" builtinId="8" hidden="1"/>
    <cellStyle name="ハイパーリンク" xfId="93" builtinId="8" hidden="1"/>
    <cellStyle name="ハイパーリンク" xfId="95" builtinId="8" hidden="1"/>
    <cellStyle name="ハイパーリンク" xfId="97" builtinId="8" hidden="1"/>
    <cellStyle name="ハイパーリンク" xfId="99" builtinId="8" hidden="1"/>
    <cellStyle name="ハイパーリンク" xfId="101" builtinId="8" hidden="1"/>
    <cellStyle name="ハイパーリンク" xfId="103" builtinId="8" hidden="1"/>
    <cellStyle name="ハイパーリンク" xfId="105" builtinId="8" hidden="1"/>
    <cellStyle name="ハイパーリンク" xfId="107" builtinId="8" hidden="1"/>
    <cellStyle name="ハイパーリンク" xfId="109" builtinId="8" hidden="1"/>
    <cellStyle name="ハイパーリンク" xfId="111" builtinId="8" hidden="1"/>
    <cellStyle name="ハイパーリンク" xfId="113" builtinId="8" hidden="1"/>
    <cellStyle name="ハイパーリンク" xfId="116" builtinId="8" hidden="1"/>
    <cellStyle name="桁区切り" xfId="115" builtinId="6"/>
    <cellStyle name="標準" xfId="0" builtinId="0"/>
    <cellStyle name="表示済みのハイパーリンク" xfId="2" builtinId="9" hidden="1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6" builtinId="9" hidden="1"/>
    <cellStyle name="表示済みのハイパーリンク" xfId="38" builtinId="9" hidden="1"/>
    <cellStyle name="表示済みのハイパーリンク" xfId="40" builtinId="9" hidden="1"/>
    <cellStyle name="表示済みのハイパーリンク" xfId="42" builtinId="9" hidden="1"/>
    <cellStyle name="表示済みのハイパーリンク" xfId="44" builtinId="9" hidden="1"/>
    <cellStyle name="表示済みのハイパーリンク" xfId="46" builtinId="9" hidden="1"/>
    <cellStyle name="表示済みのハイパーリンク" xfId="48" builtinId="9" hidden="1"/>
    <cellStyle name="表示済みのハイパーリンク" xfId="50" builtinId="9" hidden="1"/>
    <cellStyle name="表示済みのハイパーリンク" xfId="52" builtinId="9" hidden="1"/>
    <cellStyle name="表示済みのハイパーリンク" xfId="54" builtinId="9" hidden="1"/>
    <cellStyle name="表示済みのハイパーリンク" xfId="56" builtinId="9" hidden="1"/>
    <cellStyle name="表示済みのハイパーリンク" xfId="58" builtinId="9" hidden="1"/>
    <cellStyle name="表示済みのハイパーリンク" xfId="60" builtinId="9" hidden="1"/>
    <cellStyle name="表示済みのハイパーリンク" xfId="62" builtinId="9" hidden="1"/>
    <cellStyle name="表示済みのハイパーリンク" xfId="64" builtinId="9" hidden="1"/>
    <cellStyle name="表示済みのハイパーリンク" xfId="66" builtinId="9" hidden="1"/>
    <cellStyle name="表示済みのハイパーリンク" xfId="68" builtinId="9" hidden="1"/>
    <cellStyle name="表示済みのハイパーリンク" xfId="70" builtinId="9" hidden="1"/>
    <cellStyle name="表示済みのハイパーリンク" xfId="72" builtinId="9" hidden="1"/>
    <cellStyle name="表示済みのハイパーリンク" xfId="74" builtinId="9" hidden="1"/>
    <cellStyle name="表示済みのハイパーリンク" xfId="76" builtinId="9" hidden="1"/>
    <cellStyle name="表示済みのハイパーリンク" xfId="78" builtinId="9" hidden="1"/>
    <cellStyle name="表示済みのハイパーリンク" xfId="80" builtinId="9" hidden="1"/>
    <cellStyle name="表示済みのハイパーリンク" xfId="82" builtinId="9" hidden="1"/>
    <cellStyle name="表示済みのハイパーリンク" xfId="84" builtinId="9" hidden="1"/>
    <cellStyle name="表示済みのハイパーリンク" xfId="86" builtinId="9" hidden="1"/>
    <cellStyle name="表示済みのハイパーリンク" xfId="88" builtinId="9" hidden="1"/>
    <cellStyle name="表示済みのハイパーリンク" xfId="90" builtinId="9" hidden="1"/>
    <cellStyle name="表示済みのハイパーリンク" xfId="92" builtinId="9" hidden="1"/>
    <cellStyle name="表示済みのハイパーリンク" xfId="94" builtinId="9" hidden="1"/>
    <cellStyle name="表示済みのハイパーリンク" xfId="96" builtinId="9" hidden="1"/>
    <cellStyle name="表示済みのハイパーリンク" xfId="98" builtinId="9" hidden="1"/>
    <cellStyle name="表示済みのハイパーリンク" xfId="100" builtinId="9" hidden="1"/>
    <cellStyle name="表示済みのハイパーリンク" xfId="102" builtinId="9" hidden="1"/>
    <cellStyle name="表示済みのハイパーリンク" xfId="104" builtinId="9" hidden="1"/>
    <cellStyle name="表示済みのハイパーリンク" xfId="106" builtinId="9" hidden="1"/>
    <cellStyle name="表示済みのハイパーリンク" xfId="108" builtinId="9" hidden="1"/>
    <cellStyle name="表示済みのハイパーリンク" xfId="110" builtinId="9" hidden="1"/>
    <cellStyle name="表示済みのハイパーリンク" xfId="112" builtinId="9" hidden="1"/>
    <cellStyle name="表示済みのハイパーリンク" xfId="114" builtinId="9" hidden="1"/>
    <cellStyle name="表示済みのハイパーリンク" xfId="117" builtinId="9" hidden="1"/>
  </cellStyles>
  <dxfs count="36">
    <dxf>
      <font>
        <b/>
        <i val="0"/>
        <color rgb="FFFF0000"/>
      </font>
      <fill>
        <patternFill>
          <bgColor rgb="FF00B0F0"/>
        </patternFill>
      </fill>
    </dxf>
    <dxf>
      <font>
        <color rgb="FF002060"/>
      </font>
      <fill>
        <patternFill>
          <bgColor rgb="FF00B0F0"/>
        </patternFill>
      </fill>
    </dxf>
    <dxf>
      <font>
        <color rgb="FFFF0000"/>
      </font>
      <fill>
        <patternFill>
          <bgColor rgb="FF00B0F0"/>
        </patternFill>
      </fill>
    </dxf>
    <dxf>
      <font>
        <color rgb="FFFF0000"/>
      </font>
      <fill>
        <patternFill>
          <bgColor rgb="FF00B0F0"/>
        </patternFill>
      </fill>
    </dxf>
    <dxf>
      <font>
        <color rgb="FF002060"/>
      </font>
      <fill>
        <patternFill>
          <bgColor rgb="FF00B0F0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color rgb="FFFF0000"/>
      </font>
      <fill>
        <patternFill>
          <bgColor rgb="FF00B0F0"/>
        </patternFill>
      </fill>
    </dxf>
    <dxf>
      <font>
        <color rgb="FF002060"/>
      </font>
      <fill>
        <patternFill>
          <bgColor rgb="FF00B0F0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color rgb="FFFF0000"/>
      </font>
      <fill>
        <patternFill>
          <bgColor rgb="FF00B0F0"/>
        </patternFill>
      </fill>
    </dxf>
    <dxf>
      <font>
        <color rgb="FF002060"/>
      </font>
      <fill>
        <patternFill>
          <bgColor rgb="FF00B0F0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color rgb="FFFF0000"/>
      </font>
      <fill>
        <patternFill>
          <bgColor rgb="FF00B0F0"/>
        </patternFill>
      </fill>
    </dxf>
    <dxf>
      <font>
        <color rgb="FF002060"/>
      </font>
      <fill>
        <patternFill>
          <bgColor rgb="FF00B0F0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color rgb="FF002060"/>
      </font>
      <fill>
        <patternFill>
          <bgColor rgb="FF00B0F0"/>
        </patternFill>
      </fill>
    </dxf>
    <dxf>
      <font>
        <color rgb="FFFF0000"/>
      </font>
      <fill>
        <patternFill>
          <bgColor rgb="FF00B0F0"/>
        </patternFill>
      </fill>
    </dxf>
    <dxf>
      <font>
        <color rgb="FFFF0000"/>
      </font>
      <fill>
        <patternFill>
          <bgColor rgb="FF00B0F0"/>
        </patternFill>
      </fill>
    </dxf>
    <dxf>
      <font>
        <color rgb="FF002060"/>
      </font>
      <fill>
        <patternFill>
          <bgColor rgb="FF00B0F0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color rgb="FFFF0000"/>
      </font>
      <fill>
        <patternFill>
          <bgColor rgb="FF00B0F0"/>
        </patternFill>
      </fill>
    </dxf>
    <dxf>
      <font>
        <color rgb="FF002060"/>
      </font>
      <fill>
        <patternFill>
          <bgColor rgb="FF00B0F0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color rgb="FFFF0000"/>
      </font>
      <fill>
        <patternFill>
          <bgColor rgb="FF00B0F0"/>
        </patternFill>
      </fill>
    </dxf>
    <dxf>
      <font>
        <color rgb="FF002060"/>
      </font>
      <fill>
        <patternFill>
          <bgColor rgb="FF00B0F0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color rgb="FFFF0000"/>
      </font>
      <fill>
        <patternFill>
          <bgColor rgb="FF00B0F0"/>
        </patternFill>
      </fill>
    </dxf>
    <dxf>
      <font>
        <color rgb="FF002060"/>
      </font>
      <fill>
        <patternFill>
          <bgColor rgb="FF00B0F0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color rgb="FF002060"/>
      </font>
      <fill>
        <patternFill>
          <bgColor rgb="FF00B0F0"/>
        </patternFill>
      </fill>
    </dxf>
    <dxf>
      <font>
        <color rgb="FFFF0000"/>
      </font>
      <fill>
        <patternFill>
          <bgColor rgb="FF00B0F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color rgb="FFFF0000"/>
      </font>
      <fill>
        <patternFill>
          <bgColor theme="3" tint="0.79998168889431442"/>
        </patternFill>
      </fill>
    </dxf>
    <dxf>
      <font>
        <color rgb="FFFF0000"/>
      </font>
      <fill>
        <patternFill>
          <bgColor theme="3" tint="0.79998168889431442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352778</xdr:colOff>
      <xdr:row>46</xdr:row>
      <xdr:rowOff>56444</xdr:rowOff>
    </xdr:from>
    <xdr:to>
      <xdr:col>12</xdr:col>
      <xdr:colOff>352778</xdr:colOff>
      <xdr:row>64</xdr:row>
      <xdr:rowOff>197555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6575778" y="10696222"/>
          <a:ext cx="0" cy="4205111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1157111</xdr:colOff>
      <xdr:row>18</xdr:row>
      <xdr:rowOff>141111</xdr:rowOff>
    </xdr:from>
    <xdr:to>
      <xdr:col>12</xdr:col>
      <xdr:colOff>1157111</xdr:colOff>
      <xdr:row>23</xdr:row>
      <xdr:rowOff>127000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6787444" y="4416778"/>
          <a:ext cx="0" cy="1114778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1241777</xdr:colOff>
      <xdr:row>5</xdr:row>
      <xdr:rowOff>127000</xdr:rowOff>
    </xdr:from>
    <xdr:to>
      <xdr:col>12</xdr:col>
      <xdr:colOff>1241777</xdr:colOff>
      <xdr:row>9</xdr:row>
      <xdr:rowOff>141111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872110" y="1467556"/>
          <a:ext cx="0" cy="917222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324556</xdr:colOff>
      <xdr:row>3</xdr:row>
      <xdr:rowOff>0</xdr:rowOff>
    </xdr:from>
    <xdr:to>
      <xdr:col>19</xdr:col>
      <xdr:colOff>324556</xdr:colOff>
      <xdr:row>8</xdr:row>
      <xdr:rowOff>169333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11105445" y="889000"/>
          <a:ext cx="0" cy="1298222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66"/>
  <sheetViews>
    <sheetView showGridLines="0" tabSelected="1" topLeftCell="J23" zoomScaleNormal="100" workbookViewId="0">
      <selection activeCell="V33" sqref="V33"/>
    </sheetView>
  </sheetViews>
  <sheetFormatPr defaultColWidth="12.6640625" defaultRowHeight="14" x14ac:dyDescent="0.2"/>
  <cols>
    <col min="1" max="1" width="1.83203125" customWidth="1"/>
    <col min="2" max="2" width="8.33203125" customWidth="1"/>
    <col min="3" max="3" width="3.83203125" customWidth="1"/>
    <col min="4" max="5" width="3.83203125" style="1" customWidth="1"/>
    <col min="6" max="7" width="17.83203125" customWidth="1"/>
    <col min="8" max="8" width="3.83203125" customWidth="1"/>
    <col min="9" max="9" width="8.33203125" customWidth="1"/>
    <col min="10" max="10" width="4.33203125" customWidth="1"/>
    <col min="11" max="12" width="3.83203125" style="1" customWidth="1"/>
    <col min="13" max="14" width="17.83203125" customWidth="1"/>
    <col min="15" max="15" width="3.83203125" customWidth="1"/>
    <col min="16" max="16" width="8.33203125" customWidth="1"/>
    <col min="17" max="17" width="4.33203125" customWidth="1"/>
    <col min="18" max="19" width="3.83203125" customWidth="1"/>
    <col min="20" max="21" width="17.83203125" customWidth="1"/>
    <col min="22" max="24" width="6.83203125" customWidth="1"/>
    <col min="25" max="25" width="2.1640625" customWidth="1"/>
    <col min="26" max="26" width="11.6640625" style="5" bestFit="1" customWidth="1"/>
    <col min="27" max="27" width="3.1640625" style="5" bestFit="1" customWidth="1"/>
    <col min="28" max="28" width="10.6640625" style="5" bestFit="1" customWidth="1"/>
  </cols>
  <sheetData>
    <row r="1" spans="2:28" ht="10" customHeight="1" x14ac:dyDescent="0.2"/>
    <row r="2" spans="2:28" ht="26" customHeight="1" x14ac:dyDescent="0.3">
      <c r="B2" s="2" t="s">
        <v>30</v>
      </c>
      <c r="U2" s="7"/>
    </row>
    <row r="3" spans="2:28" ht="34" customHeight="1" thickBot="1" x14ac:dyDescent="0.25">
      <c r="B3" s="44">
        <f>X4</f>
        <v>2018</v>
      </c>
      <c r="C3" s="44"/>
      <c r="D3" s="44"/>
      <c r="E3" s="15"/>
      <c r="F3" s="8" t="s">
        <v>29</v>
      </c>
      <c r="G3" s="8" t="s">
        <v>28</v>
      </c>
      <c r="M3" s="8" t="s">
        <v>29</v>
      </c>
      <c r="N3" s="8" t="s">
        <v>28</v>
      </c>
      <c r="T3" s="8" t="s">
        <v>29</v>
      </c>
      <c r="U3" s="8" t="s">
        <v>28</v>
      </c>
      <c r="AB3" s="7" t="s">
        <v>37</v>
      </c>
    </row>
    <row r="4" spans="2:28" x14ac:dyDescent="0.2">
      <c r="B4" s="41">
        <f>W4</f>
        <v>10</v>
      </c>
      <c r="C4" s="3">
        <v>1</v>
      </c>
      <c r="D4" s="4">
        <f>DATE($X$4,$B$4,C4)</f>
        <v>43374</v>
      </c>
      <c r="E4" s="16" t="str">
        <f>IFERROR(VLOOKUP(DATE($X$4, $W$4, $C4), $Z$5:$AB$43, 3, FALSE), "")</f>
        <v/>
      </c>
      <c r="F4" s="14"/>
      <c r="G4" s="3"/>
      <c r="I4" s="41">
        <f>W6</f>
        <v>12</v>
      </c>
      <c r="J4" s="3">
        <v>1</v>
      </c>
      <c r="K4" s="4">
        <f>DATE($X$4,$I$4,J4)</f>
        <v>43435</v>
      </c>
      <c r="L4" s="17" t="str">
        <f>IFERROR(VLOOKUP(DATE($X$6, $W$6, $J4), $Z$5:$AB$43, 3, FALSE), "")</f>
        <v/>
      </c>
      <c r="M4" s="3"/>
      <c r="N4" s="3"/>
      <c r="P4" s="41">
        <f>W8</f>
        <v>2</v>
      </c>
      <c r="Q4" s="3">
        <v>1</v>
      </c>
      <c r="R4" s="4">
        <f>DATE(X$8,P$4,Q4)</f>
        <v>43497</v>
      </c>
      <c r="S4" s="17" t="str">
        <f>IFERROR(VLOOKUP(DATE($X$8, $W$8, $Q4), $Z$5:$AB$43, 3, FALSE), "")</f>
        <v/>
      </c>
      <c r="T4" s="3"/>
      <c r="U4" s="3"/>
      <c r="W4" s="12">
        <v>10</v>
      </c>
      <c r="X4" s="13">
        <v>2018</v>
      </c>
      <c r="Y4" s="9"/>
      <c r="Z4" s="28" t="s">
        <v>0</v>
      </c>
      <c r="AA4" s="10"/>
      <c r="AB4" s="11"/>
    </row>
    <row r="5" spans="2:28" x14ac:dyDescent="0.2">
      <c r="B5" s="41"/>
      <c r="C5" s="3">
        <v>2</v>
      </c>
      <c r="D5" s="4">
        <f t="shared" ref="D5:D34" si="0">DATE($X$4,$B$4,C5)</f>
        <v>43375</v>
      </c>
      <c r="E5" s="16" t="str">
        <f t="shared" ref="E5:E34" si="1">IFERROR(VLOOKUP(DATE($X$4, $W$4, $C5), $Z$5:$AB$43, 3, FALSE), "")</f>
        <v/>
      </c>
      <c r="F5" s="3"/>
      <c r="G5" s="3"/>
      <c r="I5" s="41"/>
      <c r="J5" s="3">
        <v>2</v>
      </c>
      <c r="K5" s="4">
        <f t="shared" ref="K5:K34" si="2">DATE($X$4,$I$4,J5)</f>
        <v>43436</v>
      </c>
      <c r="L5" s="17" t="str">
        <f t="shared" ref="L5:L34" si="3">IFERROR(VLOOKUP(DATE($X$6, $W$6, $J5), $Z$5:$AB$43, 3, FALSE), "")</f>
        <v/>
      </c>
      <c r="M5" s="6" t="s">
        <v>21</v>
      </c>
      <c r="N5" s="3"/>
      <c r="P5" s="41"/>
      <c r="Q5" s="3">
        <v>2</v>
      </c>
      <c r="R5" s="4">
        <f t="shared" ref="R5:R31" si="4">DATE(X$8,P$4,Q5)</f>
        <v>43498</v>
      </c>
      <c r="S5" s="17" t="str">
        <f t="shared" ref="S5:S31" si="5">IFERROR(VLOOKUP(DATE($X$8, $W$8, $Q5), $Z$5:$AB$43, 3, FALSE), "")</f>
        <v/>
      </c>
      <c r="T5" s="3"/>
      <c r="U5" s="3"/>
      <c r="W5" s="33">
        <f>IF($W4+1&lt;=12,$W4+1,MOD(($W4+2),12))</f>
        <v>11</v>
      </c>
      <c r="X5" s="32">
        <f>IF(W5=1, X4+1, X4)</f>
        <v>2018</v>
      </c>
      <c r="Y5" s="19"/>
      <c r="Z5" s="20">
        <v>43101</v>
      </c>
      <c r="AA5" s="20" t="s">
        <v>38</v>
      </c>
      <c r="AB5" s="21" t="s">
        <v>1</v>
      </c>
    </row>
    <row r="6" spans="2:28" x14ac:dyDescent="0.2">
      <c r="B6" s="41"/>
      <c r="C6" s="3">
        <v>3</v>
      </c>
      <c r="D6" s="4">
        <f t="shared" si="0"/>
        <v>43376</v>
      </c>
      <c r="E6" s="16" t="str">
        <f t="shared" si="1"/>
        <v/>
      </c>
      <c r="F6" s="3"/>
      <c r="G6" s="3"/>
      <c r="I6" s="41"/>
      <c r="J6" s="3">
        <v>3</v>
      </c>
      <c r="K6" s="4">
        <f t="shared" si="2"/>
        <v>43437</v>
      </c>
      <c r="L6" s="17" t="str">
        <f t="shared" si="3"/>
        <v/>
      </c>
      <c r="M6" s="6"/>
      <c r="N6" s="3"/>
      <c r="P6" s="41"/>
      <c r="Q6" s="3">
        <v>3</v>
      </c>
      <c r="R6" s="4">
        <f t="shared" si="4"/>
        <v>43499</v>
      </c>
      <c r="S6" s="17" t="str">
        <f t="shared" si="5"/>
        <v/>
      </c>
      <c r="T6" s="3"/>
      <c r="U6" s="3"/>
      <c r="W6" s="33">
        <f t="shared" ref="W6:W8" si="6">IF($W5+1&lt;=12,$W5+1,MOD(($W5+2),12))</f>
        <v>12</v>
      </c>
      <c r="X6" s="32">
        <f t="shared" ref="X6:X9" si="7">IF(W6=1, X5+1, X5)</f>
        <v>2018</v>
      </c>
      <c r="Y6" s="19"/>
      <c r="Z6" s="20">
        <v>43108</v>
      </c>
      <c r="AA6" s="20" t="s">
        <v>38</v>
      </c>
      <c r="AB6" s="21" t="s">
        <v>2</v>
      </c>
    </row>
    <row r="7" spans="2:28" x14ac:dyDescent="0.2">
      <c r="B7" s="41"/>
      <c r="C7" s="3">
        <v>4</v>
      </c>
      <c r="D7" s="4">
        <f t="shared" si="0"/>
        <v>43377</v>
      </c>
      <c r="E7" s="16" t="str">
        <f t="shared" si="1"/>
        <v/>
      </c>
      <c r="F7" s="3"/>
      <c r="G7" s="3"/>
      <c r="I7" s="41"/>
      <c r="J7" s="3">
        <v>4</v>
      </c>
      <c r="K7" s="4">
        <f t="shared" si="2"/>
        <v>43438</v>
      </c>
      <c r="L7" s="17" t="str">
        <f t="shared" si="3"/>
        <v/>
      </c>
      <c r="M7" s="3"/>
      <c r="N7" s="3"/>
      <c r="P7" s="41"/>
      <c r="Q7" s="3">
        <v>4</v>
      </c>
      <c r="R7" s="4">
        <f t="shared" si="4"/>
        <v>43500</v>
      </c>
      <c r="S7" s="17" t="str">
        <f t="shared" si="5"/>
        <v/>
      </c>
      <c r="T7" s="3"/>
      <c r="U7" s="3"/>
      <c r="W7" s="33">
        <f>IF($W6+1&lt;=12,$W6+1,MOD(($W6+1),12))</f>
        <v>1</v>
      </c>
      <c r="X7" s="32">
        <f t="shared" si="7"/>
        <v>2019</v>
      </c>
      <c r="Y7" s="19"/>
      <c r="Z7" s="20">
        <v>43142</v>
      </c>
      <c r="AA7" s="20" t="s">
        <v>39</v>
      </c>
      <c r="AB7" s="21" t="s">
        <v>3</v>
      </c>
    </row>
    <row r="8" spans="2:28" x14ac:dyDescent="0.2">
      <c r="B8" s="41"/>
      <c r="C8" s="3">
        <v>5</v>
      </c>
      <c r="D8" s="4">
        <f t="shared" si="0"/>
        <v>43378</v>
      </c>
      <c r="E8" s="16" t="str">
        <f t="shared" si="1"/>
        <v/>
      </c>
      <c r="F8" s="3"/>
      <c r="G8" s="3"/>
      <c r="I8" s="41"/>
      <c r="J8" s="3">
        <v>5</v>
      </c>
      <c r="K8" s="4">
        <f t="shared" si="2"/>
        <v>43439</v>
      </c>
      <c r="L8" s="17" t="str">
        <f t="shared" si="3"/>
        <v/>
      </c>
      <c r="M8" s="3"/>
      <c r="N8" s="3"/>
      <c r="P8" s="41"/>
      <c r="Q8" s="3">
        <v>5</v>
      </c>
      <c r="R8" s="4">
        <f t="shared" si="4"/>
        <v>43501</v>
      </c>
      <c r="S8" s="17" t="str">
        <f t="shared" si="5"/>
        <v/>
      </c>
      <c r="T8" s="3"/>
      <c r="U8" s="3"/>
      <c r="W8" s="33">
        <f t="shared" si="6"/>
        <v>2</v>
      </c>
      <c r="X8" s="32">
        <f t="shared" si="7"/>
        <v>2019</v>
      </c>
      <c r="Y8" s="19"/>
      <c r="Z8" s="20">
        <v>43143</v>
      </c>
      <c r="AA8" s="20" t="s">
        <v>38</v>
      </c>
      <c r="AB8" s="21" t="s">
        <v>5</v>
      </c>
    </row>
    <row r="9" spans="2:28" x14ac:dyDescent="0.2">
      <c r="B9" s="41"/>
      <c r="C9" s="3">
        <v>6</v>
      </c>
      <c r="D9" s="4">
        <f t="shared" si="0"/>
        <v>43379</v>
      </c>
      <c r="E9" s="16" t="str">
        <f t="shared" si="1"/>
        <v/>
      </c>
      <c r="F9" s="3"/>
      <c r="G9" s="3"/>
      <c r="I9" s="41"/>
      <c r="J9" s="3">
        <v>6</v>
      </c>
      <c r="K9" s="4">
        <f t="shared" si="2"/>
        <v>43440</v>
      </c>
      <c r="L9" s="17" t="str">
        <f t="shared" si="3"/>
        <v/>
      </c>
      <c r="M9" s="3"/>
      <c r="N9" s="3"/>
      <c r="P9" s="41"/>
      <c r="Q9" s="3">
        <v>6</v>
      </c>
      <c r="R9" s="4">
        <f t="shared" si="4"/>
        <v>43502</v>
      </c>
      <c r="S9" s="17" t="str">
        <f t="shared" si="5"/>
        <v/>
      </c>
      <c r="T9" s="3"/>
      <c r="U9" s="3" t="s">
        <v>34</v>
      </c>
      <c r="W9" s="33">
        <f>IF($W8+1&lt;=12,$W8+1,MOD(($W8+2),12))</f>
        <v>3</v>
      </c>
      <c r="X9" s="32">
        <f t="shared" si="7"/>
        <v>2019</v>
      </c>
      <c r="Y9" s="19"/>
      <c r="Z9" s="20">
        <v>43180</v>
      </c>
      <c r="AA9" s="20" t="s">
        <v>40</v>
      </c>
      <c r="AB9" s="21" t="s">
        <v>4</v>
      </c>
    </row>
    <row r="10" spans="2:28" x14ac:dyDescent="0.2">
      <c r="B10" s="41"/>
      <c r="C10" s="3">
        <v>7</v>
      </c>
      <c r="D10" s="4">
        <f t="shared" si="0"/>
        <v>43380</v>
      </c>
      <c r="E10" s="16" t="str">
        <f t="shared" si="1"/>
        <v/>
      </c>
      <c r="F10" s="3"/>
      <c r="G10" s="3"/>
      <c r="I10" s="41"/>
      <c r="J10" s="3">
        <v>7</v>
      </c>
      <c r="K10" s="4">
        <f t="shared" si="2"/>
        <v>43441</v>
      </c>
      <c r="L10" s="17" t="str">
        <f t="shared" si="3"/>
        <v/>
      </c>
      <c r="M10" s="3"/>
      <c r="N10" s="3" t="s">
        <v>22</v>
      </c>
      <c r="P10" s="41"/>
      <c r="Q10" s="3">
        <v>7</v>
      </c>
      <c r="R10" s="4">
        <f t="shared" si="4"/>
        <v>43503</v>
      </c>
      <c r="S10" s="17" t="str">
        <f t="shared" si="5"/>
        <v/>
      </c>
      <c r="T10" s="3"/>
      <c r="U10" s="3"/>
      <c r="W10" s="18"/>
      <c r="X10" s="19"/>
      <c r="Y10" s="19"/>
      <c r="Z10" s="20">
        <v>43219</v>
      </c>
      <c r="AA10" s="20" t="s">
        <v>39</v>
      </c>
      <c r="AB10" s="21" t="s">
        <v>6</v>
      </c>
    </row>
    <row r="11" spans="2:28" x14ac:dyDescent="0.2">
      <c r="B11" s="41"/>
      <c r="C11" s="3">
        <v>8</v>
      </c>
      <c r="D11" s="4">
        <f t="shared" si="0"/>
        <v>43381</v>
      </c>
      <c r="E11" s="16" t="str">
        <f t="shared" si="1"/>
        <v>体育の日</v>
      </c>
      <c r="F11" s="3"/>
      <c r="G11" s="3"/>
      <c r="I11" s="41"/>
      <c r="J11" s="3">
        <v>8</v>
      </c>
      <c r="K11" s="4">
        <f t="shared" si="2"/>
        <v>43442</v>
      </c>
      <c r="L11" s="17" t="str">
        <f t="shared" si="3"/>
        <v/>
      </c>
      <c r="M11" s="3"/>
      <c r="N11" s="3"/>
      <c r="P11" s="41"/>
      <c r="Q11" s="3">
        <v>8</v>
      </c>
      <c r="R11" s="4">
        <f t="shared" si="4"/>
        <v>43504</v>
      </c>
      <c r="S11" s="17" t="str">
        <f t="shared" si="5"/>
        <v/>
      </c>
      <c r="T11" s="3"/>
      <c r="U11" s="3"/>
      <c r="W11" s="18"/>
      <c r="X11" s="19"/>
      <c r="Y11" s="19"/>
      <c r="Z11" s="20">
        <v>43220</v>
      </c>
      <c r="AA11" s="20" t="s">
        <v>38</v>
      </c>
      <c r="AB11" s="21" t="s">
        <v>5</v>
      </c>
    </row>
    <row r="12" spans="2:28" x14ac:dyDescent="0.2">
      <c r="B12" s="41"/>
      <c r="C12" s="3">
        <v>9</v>
      </c>
      <c r="D12" s="4">
        <f t="shared" si="0"/>
        <v>43382</v>
      </c>
      <c r="E12" s="16" t="str">
        <f t="shared" si="1"/>
        <v/>
      </c>
      <c r="F12" s="3"/>
      <c r="G12" s="3"/>
      <c r="I12" s="41"/>
      <c r="J12" s="3">
        <v>9</v>
      </c>
      <c r="K12" s="4">
        <f t="shared" si="2"/>
        <v>43443</v>
      </c>
      <c r="L12" s="17" t="str">
        <f t="shared" si="3"/>
        <v/>
      </c>
      <c r="M12" s="3" t="s">
        <v>23</v>
      </c>
      <c r="N12" s="3"/>
      <c r="P12" s="41"/>
      <c r="Q12" s="3">
        <v>9</v>
      </c>
      <c r="R12" s="4">
        <f t="shared" si="4"/>
        <v>43505</v>
      </c>
      <c r="S12" s="17" t="str">
        <f t="shared" si="5"/>
        <v/>
      </c>
      <c r="T12" s="3"/>
      <c r="U12" s="3"/>
      <c r="W12" s="18"/>
      <c r="X12" s="19"/>
      <c r="Y12" s="19"/>
      <c r="Z12" s="20">
        <v>43223</v>
      </c>
      <c r="AA12" s="20" t="s">
        <v>41</v>
      </c>
      <c r="AB12" s="21" t="s">
        <v>7</v>
      </c>
    </row>
    <row r="13" spans="2:28" x14ac:dyDescent="0.2">
      <c r="B13" s="41"/>
      <c r="C13" s="3">
        <v>10</v>
      </c>
      <c r="D13" s="4">
        <f t="shared" si="0"/>
        <v>43383</v>
      </c>
      <c r="E13" s="16" t="str">
        <f t="shared" si="1"/>
        <v/>
      </c>
      <c r="F13" s="3"/>
      <c r="G13" s="3"/>
      <c r="I13" s="41"/>
      <c r="J13" s="3">
        <v>10</v>
      </c>
      <c r="K13" s="4">
        <f t="shared" si="2"/>
        <v>43444</v>
      </c>
      <c r="L13" s="17" t="str">
        <f t="shared" si="3"/>
        <v/>
      </c>
      <c r="M13" s="3"/>
      <c r="N13" s="3"/>
      <c r="P13" s="41"/>
      <c r="Q13" s="3">
        <v>10</v>
      </c>
      <c r="R13" s="4">
        <f t="shared" si="4"/>
        <v>43506</v>
      </c>
      <c r="S13" s="17" t="str">
        <f t="shared" si="5"/>
        <v/>
      </c>
      <c r="T13" s="3"/>
      <c r="U13" s="3"/>
      <c r="W13" s="18"/>
      <c r="X13" s="19"/>
      <c r="Y13" s="19"/>
      <c r="Z13" s="20">
        <v>43224</v>
      </c>
      <c r="AA13" s="20" t="s">
        <v>42</v>
      </c>
      <c r="AB13" s="21" t="s">
        <v>8</v>
      </c>
    </row>
    <row r="14" spans="2:28" x14ac:dyDescent="0.2">
      <c r="B14" s="41"/>
      <c r="C14" s="3">
        <v>11</v>
      </c>
      <c r="D14" s="4">
        <f t="shared" si="0"/>
        <v>43384</v>
      </c>
      <c r="E14" s="16" t="str">
        <f t="shared" si="1"/>
        <v/>
      </c>
      <c r="F14" s="3"/>
      <c r="G14" s="3"/>
      <c r="I14" s="41"/>
      <c r="J14" s="3">
        <v>11</v>
      </c>
      <c r="K14" s="4">
        <f t="shared" si="2"/>
        <v>43445</v>
      </c>
      <c r="L14" s="17" t="str">
        <f t="shared" si="3"/>
        <v/>
      </c>
      <c r="M14" s="6"/>
      <c r="N14" s="3"/>
      <c r="P14" s="41"/>
      <c r="Q14" s="3">
        <v>11</v>
      </c>
      <c r="R14" s="4">
        <f t="shared" si="4"/>
        <v>43507</v>
      </c>
      <c r="S14" s="17" t="str">
        <f t="shared" si="5"/>
        <v>建国記念の日</v>
      </c>
      <c r="T14" s="3"/>
      <c r="U14" s="3"/>
      <c r="W14" s="18"/>
      <c r="X14" s="19"/>
      <c r="Y14" s="19"/>
      <c r="Z14" s="20">
        <v>43225</v>
      </c>
      <c r="AA14" s="20" t="s">
        <v>43</v>
      </c>
      <c r="AB14" s="21" t="s">
        <v>9</v>
      </c>
    </row>
    <row r="15" spans="2:28" x14ac:dyDescent="0.2">
      <c r="B15" s="41"/>
      <c r="C15" s="3">
        <v>12</v>
      </c>
      <c r="D15" s="4">
        <f t="shared" si="0"/>
        <v>43385</v>
      </c>
      <c r="E15" s="16" t="str">
        <f t="shared" si="1"/>
        <v/>
      </c>
      <c r="F15" s="3"/>
      <c r="G15" s="3"/>
      <c r="I15" s="41"/>
      <c r="J15" s="3">
        <v>12</v>
      </c>
      <c r="K15" s="4">
        <f t="shared" si="2"/>
        <v>43446</v>
      </c>
      <c r="L15" s="17" t="str">
        <f t="shared" si="3"/>
        <v/>
      </c>
      <c r="M15" s="3"/>
      <c r="N15" s="3" t="s">
        <v>32</v>
      </c>
      <c r="P15" s="41"/>
      <c r="Q15" s="3">
        <v>12</v>
      </c>
      <c r="R15" s="4">
        <f t="shared" si="4"/>
        <v>43508</v>
      </c>
      <c r="S15" s="17" t="str">
        <f t="shared" si="5"/>
        <v/>
      </c>
      <c r="T15" s="3"/>
      <c r="U15" s="3"/>
      <c r="W15" s="18"/>
      <c r="X15" s="19"/>
      <c r="Y15" s="19"/>
      <c r="Z15" s="20">
        <v>43297</v>
      </c>
      <c r="AA15" s="20" t="s">
        <v>38</v>
      </c>
      <c r="AB15" s="21" t="s">
        <v>10</v>
      </c>
    </row>
    <row r="16" spans="2:28" x14ac:dyDescent="0.2">
      <c r="B16" s="41"/>
      <c r="C16" s="3">
        <v>13</v>
      </c>
      <c r="D16" s="4">
        <f t="shared" si="0"/>
        <v>43386</v>
      </c>
      <c r="E16" s="16" t="str">
        <f t="shared" si="1"/>
        <v/>
      </c>
      <c r="F16" s="3"/>
      <c r="G16" s="3"/>
      <c r="I16" s="41"/>
      <c r="J16" s="3">
        <v>13</v>
      </c>
      <c r="K16" s="4">
        <f t="shared" si="2"/>
        <v>43447</v>
      </c>
      <c r="L16" s="17" t="str">
        <f t="shared" si="3"/>
        <v/>
      </c>
      <c r="M16" s="3" t="s">
        <v>31</v>
      </c>
      <c r="N16" s="3"/>
      <c r="P16" s="41"/>
      <c r="Q16" s="3">
        <v>13</v>
      </c>
      <c r="R16" s="4">
        <f t="shared" si="4"/>
        <v>43509</v>
      </c>
      <c r="S16" s="17" t="str">
        <f t="shared" si="5"/>
        <v/>
      </c>
      <c r="T16" s="3"/>
      <c r="U16" s="3"/>
      <c r="W16" s="18"/>
      <c r="X16" s="19"/>
      <c r="Y16" s="19"/>
      <c r="Z16" s="20">
        <v>43323</v>
      </c>
      <c r="AA16" s="20" t="s">
        <v>43</v>
      </c>
      <c r="AB16" s="21" t="s">
        <v>11</v>
      </c>
    </row>
    <row r="17" spans="2:28" x14ac:dyDescent="0.2">
      <c r="B17" s="41"/>
      <c r="C17" s="3">
        <v>14</v>
      </c>
      <c r="D17" s="4">
        <f t="shared" si="0"/>
        <v>43387</v>
      </c>
      <c r="E17" s="16" t="str">
        <f t="shared" si="1"/>
        <v/>
      </c>
      <c r="F17" s="45" t="s">
        <v>26</v>
      </c>
      <c r="G17" s="46"/>
      <c r="I17" s="41"/>
      <c r="J17" s="3">
        <v>14</v>
      </c>
      <c r="K17" s="4">
        <f t="shared" si="2"/>
        <v>43448</v>
      </c>
      <c r="L17" s="17" t="str">
        <f t="shared" si="3"/>
        <v/>
      </c>
      <c r="M17" s="3"/>
      <c r="N17" s="3"/>
      <c r="P17" s="41"/>
      <c r="Q17" s="3">
        <v>14</v>
      </c>
      <c r="R17" s="4">
        <f t="shared" si="4"/>
        <v>43510</v>
      </c>
      <c r="S17" s="17" t="str">
        <f t="shared" si="5"/>
        <v/>
      </c>
      <c r="T17" s="3"/>
      <c r="U17" s="3"/>
      <c r="W17" s="18"/>
      <c r="X17" s="19"/>
      <c r="Y17" s="19"/>
      <c r="Z17" s="20">
        <v>43360</v>
      </c>
      <c r="AA17" s="20" t="s">
        <v>38</v>
      </c>
      <c r="AB17" s="21" t="s">
        <v>12</v>
      </c>
    </row>
    <row r="18" spans="2:28" x14ac:dyDescent="0.2">
      <c r="B18" s="41"/>
      <c r="C18" s="3">
        <v>15</v>
      </c>
      <c r="D18" s="4">
        <f t="shared" si="0"/>
        <v>43388</v>
      </c>
      <c r="E18" s="16" t="str">
        <f t="shared" si="1"/>
        <v/>
      </c>
      <c r="F18" s="3"/>
      <c r="G18" s="3"/>
      <c r="I18" s="41"/>
      <c r="J18" s="3">
        <v>15</v>
      </c>
      <c r="K18" s="4">
        <f t="shared" si="2"/>
        <v>43449</v>
      </c>
      <c r="L18" s="17" t="str">
        <f t="shared" si="3"/>
        <v/>
      </c>
      <c r="M18" s="3"/>
      <c r="N18" s="3"/>
      <c r="P18" s="41"/>
      <c r="Q18" s="3">
        <v>15</v>
      </c>
      <c r="R18" s="4">
        <f t="shared" si="4"/>
        <v>43511</v>
      </c>
      <c r="S18" s="17" t="str">
        <f t="shared" si="5"/>
        <v/>
      </c>
      <c r="T18" s="3"/>
      <c r="U18" s="3"/>
      <c r="W18" s="18"/>
      <c r="X18" s="19"/>
      <c r="Y18" s="19"/>
      <c r="Z18" s="20">
        <v>43366</v>
      </c>
      <c r="AA18" s="20" t="s">
        <v>39</v>
      </c>
      <c r="AB18" s="21" t="s">
        <v>13</v>
      </c>
    </row>
    <row r="19" spans="2:28" x14ac:dyDescent="0.2">
      <c r="B19" s="41"/>
      <c r="C19" s="3">
        <v>16</v>
      </c>
      <c r="D19" s="4">
        <f t="shared" si="0"/>
        <v>43389</v>
      </c>
      <c r="E19" s="16" t="str">
        <f t="shared" si="1"/>
        <v/>
      </c>
      <c r="F19" s="3"/>
      <c r="G19" s="3"/>
      <c r="I19" s="41"/>
      <c r="J19" s="3">
        <v>16</v>
      </c>
      <c r="K19" s="4">
        <f t="shared" si="2"/>
        <v>43450</v>
      </c>
      <c r="L19" s="17" t="str">
        <f t="shared" si="3"/>
        <v/>
      </c>
      <c r="M19" s="6" t="s">
        <v>20</v>
      </c>
      <c r="N19" s="3"/>
      <c r="P19" s="41"/>
      <c r="Q19" s="3">
        <v>16</v>
      </c>
      <c r="R19" s="4">
        <f t="shared" si="4"/>
        <v>43512</v>
      </c>
      <c r="S19" s="17" t="str">
        <f t="shared" si="5"/>
        <v/>
      </c>
      <c r="T19" s="3"/>
      <c r="U19" s="3"/>
      <c r="W19" s="18"/>
      <c r="X19" s="19"/>
      <c r="Y19" s="19"/>
      <c r="Z19" s="20">
        <v>43367</v>
      </c>
      <c r="AA19" s="20" t="s">
        <v>38</v>
      </c>
      <c r="AB19" s="21" t="s">
        <v>5</v>
      </c>
    </row>
    <row r="20" spans="2:28" x14ac:dyDescent="0.2">
      <c r="B20" s="41"/>
      <c r="C20" s="3">
        <v>17</v>
      </c>
      <c r="D20" s="4">
        <f t="shared" si="0"/>
        <v>43390</v>
      </c>
      <c r="E20" s="16" t="str">
        <f t="shared" si="1"/>
        <v/>
      </c>
      <c r="F20" s="3"/>
      <c r="G20" s="3"/>
      <c r="I20" s="41"/>
      <c r="J20" s="3">
        <v>17</v>
      </c>
      <c r="K20" s="4">
        <f t="shared" si="2"/>
        <v>43451</v>
      </c>
      <c r="L20" s="17" t="str">
        <f t="shared" si="3"/>
        <v/>
      </c>
      <c r="M20" s="3"/>
      <c r="N20" s="3"/>
      <c r="P20" s="41"/>
      <c r="Q20" s="3">
        <v>17</v>
      </c>
      <c r="R20" s="4">
        <f t="shared" si="4"/>
        <v>43513</v>
      </c>
      <c r="S20" s="17" t="str">
        <f t="shared" si="5"/>
        <v/>
      </c>
      <c r="T20" s="3"/>
      <c r="U20" s="3"/>
      <c r="W20" s="18"/>
      <c r="X20" s="19"/>
      <c r="Y20" s="19"/>
      <c r="Z20" s="20">
        <v>43381</v>
      </c>
      <c r="AA20" s="20" t="s">
        <v>38</v>
      </c>
      <c r="AB20" s="21" t="s">
        <v>14</v>
      </c>
    </row>
    <row r="21" spans="2:28" x14ac:dyDescent="0.2">
      <c r="B21" s="41"/>
      <c r="C21" s="3">
        <v>18</v>
      </c>
      <c r="D21" s="4">
        <f t="shared" si="0"/>
        <v>43391</v>
      </c>
      <c r="E21" s="16" t="str">
        <f t="shared" si="1"/>
        <v/>
      </c>
      <c r="F21" s="3"/>
      <c r="G21" s="3"/>
      <c r="I21" s="41"/>
      <c r="J21" s="3">
        <v>18</v>
      </c>
      <c r="K21" s="4">
        <f t="shared" si="2"/>
        <v>43452</v>
      </c>
      <c r="L21" s="17" t="str">
        <f t="shared" si="3"/>
        <v/>
      </c>
      <c r="M21" s="3"/>
      <c r="N21" s="3"/>
      <c r="P21" s="41"/>
      <c r="Q21" s="3">
        <v>18</v>
      </c>
      <c r="R21" s="4">
        <f t="shared" si="4"/>
        <v>43514</v>
      </c>
      <c r="S21" s="17" t="str">
        <f t="shared" si="5"/>
        <v/>
      </c>
      <c r="T21" s="3"/>
      <c r="U21" s="3"/>
      <c r="W21" s="18"/>
      <c r="X21" s="19"/>
      <c r="Y21" s="19"/>
      <c r="Z21" s="20">
        <v>43407</v>
      </c>
      <c r="AA21" s="20" t="s">
        <v>43</v>
      </c>
      <c r="AB21" s="21" t="s">
        <v>15</v>
      </c>
    </row>
    <row r="22" spans="2:28" x14ac:dyDescent="0.2">
      <c r="B22" s="41"/>
      <c r="C22" s="3">
        <v>19</v>
      </c>
      <c r="D22" s="4">
        <f t="shared" si="0"/>
        <v>43392</v>
      </c>
      <c r="E22" s="16" t="str">
        <f t="shared" si="1"/>
        <v/>
      </c>
      <c r="F22" s="3"/>
      <c r="G22" s="3"/>
      <c r="I22" s="41"/>
      <c r="J22" s="3">
        <v>19</v>
      </c>
      <c r="K22" s="4">
        <f t="shared" si="2"/>
        <v>43453</v>
      </c>
      <c r="L22" s="17" t="str">
        <f t="shared" si="3"/>
        <v/>
      </c>
      <c r="M22" s="3"/>
      <c r="N22" s="3"/>
      <c r="P22" s="41"/>
      <c r="Q22" s="3">
        <v>19</v>
      </c>
      <c r="R22" s="4">
        <f t="shared" si="4"/>
        <v>43515</v>
      </c>
      <c r="S22" s="17" t="str">
        <f t="shared" si="5"/>
        <v/>
      </c>
      <c r="T22" s="3"/>
      <c r="U22" s="3"/>
      <c r="W22" s="18"/>
      <c r="X22" s="19"/>
      <c r="Y22" s="19"/>
      <c r="Z22" s="24">
        <v>43427</v>
      </c>
      <c r="AA22" s="22" t="s">
        <v>42</v>
      </c>
      <c r="AB22" s="23" t="s">
        <v>16</v>
      </c>
    </row>
    <row r="23" spans="2:28" x14ac:dyDescent="0.2">
      <c r="B23" s="41"/>
      <c r="C23" s="3">
        <v>20</v>
      </c>
      <c r="D23" s="4">
        <f t="shared" si="0"/>
        <v>43393</v>
      </c>
      <c r="E23" s="16" t="str">
        <f t="shared" si="1"/>
        <v/>
      </c>
      <c r="F23" s="3"/>
      <c r="G23" s="3"/>
      <c r="I23" s="41"/>
      <c r="J23" s="3">
        <v>20</v>
      </c>
      <c r="K23" s="4">
        <f t="shared" si="2"/>
        <v>43454</v>
      </c>
      <c r="L23" s="17" t="str">
        <f t="shared" si="3"/>
        <v/>
      </c>
      <c r="M23" s="3"/>
      <c r="N23" s="3"/>
      <c r="P23" s="41"/>
      <c r="Q23" s="3">
        <v>20</v>
      </c>
      <c r="R23" s="4">
        <f t="shared" si="4"/>
        <v>43516</v>
      </c>
      <c r="S23" s="17" t="str">
        <f t="shared" si="5"/>
        <v/>
      </c>
      <c r="T23" s="3"/>
      <c r="U23" s="3"/>
      <c r="W23" s="18"/>
      <c r="X23" s="19"/>
      <c r="Y23" s="19"/>
      <c r="Z23" s="24">
        <v>43457</v>
      </c>
      <c r="AA23" s="20" t="s">
        <v>39</v>
      </c>
      <c r="AB23" s="21" t="s">
        <v>17</v>
      </c>
    </row>
    <row r="24" spans="2:28" x14ac:dyDescent="0.2">
      <c r="B24" s="41"/>
      <c r="C24" s="3">
        <v>21</v>
      </c>
      <c r="D24" s="4">
        <f t="shared" si="0"/>
        <v>43394</v>
      </c>
      <c r="E24" s="16" t="str">
        <f t="shared" si="1"/>
        <v/>
      </c>
      <c r="F24" s="3"/>
      <c r="G24" s="3"/>
      <c r="I24" s="41"/>
      <c r="J24" s="3">
        <v>21</v>
      </c>
      <c r="K24" s="4">
        <f t="shared" si="2"/>
        <v>43455</v>
      </c>
      <c r="L24" s="17" t="str">
        <f t="shared" si="3"/>
        <v/>
      </c>
      <c r="M24" s="3"/>
      <c r="N24" s="6" t="s">
        <v>19</v>
      </c>
      <c r="P24" s="41"/>
      <c r="Q24" s="3">
        <v>21</v>
      </c>
      <c r="R24" s="4">
        <f t="shared" si="4"/>
        <v>43517</v>
      </c>
      <c r="S24" s="17" t="str">
        <f t="shared" si="5"/>
        <v/>
      </c>
      <c r="T24" s="3"/>
      <c r="U24" s="3"/>
      <c r="W24" s="18"/>
      <c r="X24" s="19"/>
      <c r="Y24" s="19"/>
      <c r="Z24" s="24">
        <v>43458</v>
      </c>
      <c r="AA24" s="20" t="s">
        <v>38</v>
      </c>
      <c r="AB24" s="21" t="s">
        <v>5</v>
      </c>
    </row>
    <row r="25" spans="2:28" x14ac:dyDescent="0.2">
      <c r="B25" s="41"/>
      <c r="C25" s="3">
        <v>22</v>
      </c>
      <c r="D25" s="4">
        <f t="shared" si="0"/>
        <v>43395</v>
      </c>
      <c r="E25" s="16" t="str">
        <f t="shared" si="1"/>
        <v/>
      </c>
      <c r="F25" s="3"/>
      <c r="G25" s="3"/>
      <c r="I25" s="41"/>
      <c r="J25" s="3">
        <v>22</v>
      </c>
      <c r="K25" s="4">
        <f t="shared" si="2"/>
        <v>43456</v>
      </c>
      <c r="L25" s="17" t="str">
        <f t="shared" si="3"/>
        <v/>
      </c>
      <c r="M25" s="3" t="s">
        <v>36</v>
      </c>
      <c r="N25" s="3"/>
      <c r="P25" s="41"/>
      <c r="Q25" s="3">
        <v>22</v>
      </c>
      <c r="R25" s="4">
        <f t="shared" si="4"/>
        <v>43518</v>
      </c>
      <c r="S25" s="17" t="str">
        <f t="shared" si="5"/>
        <v/>
      </c>
      <c r="T25" s="3"/>
      <c r="U25" s="3"/>
      <c r="W25" s="18"/>
      <c r="X25" s="19"/>
      <c r="Y25" s="19"/>
      <c r="Z25" s="24">
        <v>43466</v>
      </c>
      <c r="AA25" s="20" t="s">
        <v>44</v>
      </c>
      <c r="AB25" s="21" t="s">
        <v>1</v>
      </c>
    </row>
    <row r="26" spans="2:28" x14ac:dyDescent="0.2">
      <c r="B26" s="41"/>
      <c r="C26" s="3">
        <v>23</v>
      </c>
      <c r="D26" s="4">
        <f t="shared" si="0"/>
        <v>43396</v>
      </c>
      <c r="E26" s="16" t="str">
        <f t="shared" si="1"/>
        <v/>
      </c>
      <c r="F26" s="3"/>
      <c r="G26" s="3"/>
      <c r="I26" s="41"/>
      <c r="J26" s="3">
        <v>23</v>
      </c>
      <c r="K26" s="4">
        <f t="shared" si="2"/>
        <v>43457</v>
      </c>
      <c r="L26" s="17" t="str">
        <f t="shared" si="3"/>
        <v>天皇誕生日</v>
      </c>
      <c r="M26" s="3"/>
      <c r="N26" s="3"/>
      <c r="P26" s="41"/>
      <c r="Q26" s="3">
        <v>23</v>
      </c>
      <c r="R26" s="4">
        <f t="shared" si="4"/>
        <v>43519</v>
      </c>
      <c r="S26" s="17" t="str">
        <f t="shared" si="5"/>
        <v/>
      </c>
      <c r="T26" s="3"/>
      <c r="U26" s="3"/>
      <c r="W26" s="18"/>
      <c r="X26" s="19"/>
      <c r="Y26" s="19"/>
      <c r="Z26" s="24">
        <v>43479</v>
      </c>
      <c r="AA26" s="20" t="s">
        <v>38</v>
      </c>
      <c r="AB26" s="21" t="s">
        <v>2</v>
      </c>
    </row>
    <row r="27" spans="2:28" x14ac:dyDescent="0.2">
      <c r="B27" s="41"/>
      <c r="C27" s="3">
        <v>24</v>
      </c>
      <c r="D27" s="4">
        <f t="shared" si="0"/>
        <v>43397</v>
      </c>
      <c r="E27" s="16" t="str">
        <f t="shared" si="1"/>
        <v/>
      </c>
      <c r="F27" s="3"/>
      <c r="G27" s="3"/>
      <c r="I27" s="41"/>
      <c r="J27" s="3">
        <v>24</v>
      </c>
      <c r="K27" s="4">
        <f t="shared" si="2"/>
        <v>43458</v>
      </c>
      <c r="L27" s="17" t="str">
        <f t="shared" si="3"/>
        <v>振替休日</v>
      </c>
      <c r="M27" s="3"/>
      <c r="N27" s="3"/>
      <c r="P27" s="41"/>
      <c r="Q27" s="3">
        <v>24</v>
      </c>
      <c r="R27" s="4">
        <f t="shared" si="4"/>
        <v>43520</v>
      </c>
      <c r="S27" s="17" t="str">
        <f t="shared" si="5"/>
        <v/>
      </c>
      <c r="T27" s="3"/>
      <c r="U27" s="3"/>
      <c r="W27" s="18"/>
      <c r="X27" s="19"/>
      <c r="Y27" s="19"/>
      <c r="Z27" s="24">
        <v>43507</v>
      </c>
      <c r="AA27" s="20" t="s">
        <v>38</v>
      </c>
      <c r="AB27" s="21" t="s">
        <v>3</v>
      </c>
    </row>
    <row r="28" spans="2:28" x14ac:dyDescent="0.2">
      <c r="B28" s="41"/>
      <c r="C28" s="3">
        <v>25</v>
      </c>
      <c r="D28" s="4">
        <f t="shared" si="0"/>
        <v>43398</v>
      </c>
      <c r="E28" s="16" t="str">
        <f t="shared" si="1"/>
        <v/>
      </c>
      <c r="F28" s="3"/>
      <c r="G28" s="3"/>
      <c r="I28" s="41"/>
      <c r="J28" s="3">
        <v>25</v>
      </c>
      <c r="K28" s="4">
        <f t="shared" si="2"/>
        <v>43459</v>
      </c>
      <c r="L28" s="17" t="str">
        <f t="shared" si="3"/>
        <v/>
      </c>
      <c r="M28" s="3"/>
      <c r="N28" s="3"/>
      <c r="P28" s="41"/>
      <c r="Q28" s="3">
        <v>25</v>
      </c>
      <c r="R28" s="4">
        <f t="shared" si="4"/>
        <v>43521</v>
      </c>
      <c r="S28" s="17" t="str">
        <f t="shared" si="5"/>
        <v/>
      </c>
      <c r="T28" s="3"/>
      <c r="U28" s="3"/>
      <c r="W28" s="18"/>
      <c r="X28" s="19"/>
      <c r="Y28" s="19"/>
      <c r="Z28" s="24">
        <v>43545</v>
      </c>
      <c r="AA28" s="20" t="s">
        <v>41</v>
      </c>
      <c r="AB28" s="21" t="s">
        <v>4</v>
      </c>
    </row>
    <row r="29" spans="2:28" x14ac:dyDescent="0.2">
      <c r="B29" s="41"/>
      <c r="C29" s="3">
        <v>26</v>
      </c>
      <c r="D29" s="4">
        <f t="shared" si="0"/>
        <v>43399</v>
      </c>
      <c r="E29" s="16" t="str">
        <f t="shared" si="1"/>
        <v/>
      </c>
      <c r="F29" s="3"/>
      <c r="G29" s="3"/>
      <c r="I29" s="41"/>
      <c r="J29" s="3">
        <v>26</v>
      </c>
      <c r="K29" s="4">
        <f t="shared" si="2"/>
        <v>43460</v>
      </c>
      <c r="L29" s="17" t="str">
        <f t="shared" si="3"/>
        <v/>
      </c>
      <c r="M29" s="3"/>
      <c r="N29" s="3"/>
      <c r="P29" s="41"/>
      <c r="Q29" s="3">
        <v>26</v>
      </c>
      <c r="R29" s="4">
        <f t="shared" si="4"/>
        <v>43522</v>
      </c>
      <c r="S29" s="17" t="str">
        <f t="shared" si="5"/>
        <v/>
      </c>
      <c r="T29" s="3"/>
      <c r="U29" s="3"/>
      <c r="W29" s="18"/>
      <c r="X29" s="19"/>
      <c r="Y29" s="19"/>
      <c r="Z29" s="24">
        <v>43584</v>
      </c>
      <c r="AA29" s="20" t="s">
        <v>38</v>
      </c>
      <c r="AB29" s="21" t="s">
        <v>6</v>
      </c>
    </row>
    <row r="30" spans="2:28" x14ac:dyDescent="0.2">
      <c r="B30" s="41"/>
      <c r="C30" s="3">
        <v>27</v>
      </c>
      <c r="D30" s="4">
        <f t="shared" si="0"/>
        <v>43400</v>
      </c>
      <c r="E30" s="16" t="str">
        <f t="shared" si="1"/>
        <v/>
      </c>
      <c r="F30" s="45" t="s">
        <v>25</v>
      </c>
      <c r="G30" s="46"/>
      <c r="I30" s="41"/>
      <c r="J30" s="3">
        <v>27</v>
      </c>
      <c r="K30" s="4">
        <f t="shared" si="2"/>
        <v>43461</v>
      </c>
      <c r="L30" s="17" t="str">
        <f t="shared" si="3"/>
        <v/>
      </c>
      <c r="M30" s="3"/>
      <c r="N30" s="3"/>
      <c r="P30" s="41"/>
      <c r="Q30" s="3">
        <v>27</v>
      </c>
      <c r="R30" s="4">
        <f t="shared" si="4"/>
        <v>43523</v>
      </c>
      <c r="S30" s="17" t="str">
        <f t="shared" si="5"/>
        <v/>
      </c>
      <c r="T30" s="3"/>
      <c r="U30" s="3"/>
      <c r="W30" s="18"/>
      <c r="X30" s="19"/>
      <c r="Y30" s="19"/>
      <c r="Z30" s="24">
        <v>43588</v>
      </c>
      <c r="AA30" s="20" t="s">
        <v>42</v>
      </c>
      <c r="AB30" s="21" t="s">
        <v>7</v>
      </c>
    </row>
    <row r="31" spans="2:28" x14ac:dyDescent="0.2">
      <c r="B31" s="41"/>
      <c r="C31" s="3">
        <v>28</v>
      </c>
      <c r="D31" s="4">
        <f t="shared" si="0"/>
        <v>43401</v>
      </c>
      <c r="E31" s="16" t="str">
        <f t="shared" si="1"/>
        <v/>
      </c>
      <c r="F31" s="3"/>
      <c r="G31" s="3"/>
      <c r="I31" s="41"/>
      <c r="J31" s="3">
        <v>28</v>
      </c>
      <c r="K31" s="4">
        <f t="shared" si="2"/>
        <v>43462</v>
      </c>
      <c r="L31" s="17" t="str">
        <f t="shared" si="3"/>
        <v/>
      </c>
      <c r="M31" s="3"/>
      <c r="N31" s="3" t="s">
        <v>18</v>
      </c>
      <c r="P31" s="41"/>
      <c r="Q31" s="3">
        <v>28</v>
      </c>
      <c r="R31" s="4">
        <f t="shared" si="4"/>
        <v>43524</v>
      </c>
      <c r="S31" s="17" t="str">
        <f t="shared" si="5"/>
        <v/>
      </c>
      <c r="T31" s="3"/>
      <c r="U31" s="3"/>
      <c r="W31" s="18"/>
      <c r="X31" s="19"/>
      <c r="Y31" s="19"/>
      <c r="Z31" s="24">
        <v>43589</v>
      </c>
      <c r="AA31" s="20" t="s">
        <v>43</v>
      </c>
      <c r="AB31" s="21" t="s">
        <v>8</v>
      </c>
    </row>
    <row r="32" spans="2:28" x14ac:dyDescent="0.2">
      <c r="B32" s="41"/>
      <c r="C32" s="3">
        <v>29</v>
      </c>
      <c r="D32" s="4">
        <f t="shared" si="0"/>
        <v>43402</v>
      </c>
      <c r="E32" s="16" t="str">
        <f t="shared" si="1"/>
        <v/>
      </c>
      <c r="F32" s="3"/>
      <c r="G32" s="3"/>
      <c r="I32" s="41"/>
      <c r="J32" s="3">
        <v>29</v>
      </c>
      <c r="K32" s="4">
        <f t="shared" si="2"/>
        <v>43463</v>
      </c>
      <c r="L32" s="17" t="str">
        <f t="shared" si="3"/>
        <v/>
      </c>
      <c r="M32" s="3"/>
      <c r="N32" s="3"/>
      <c r="P32" s="41"/>
      <c r="Q32" s="3"/>
      <c r="R32" s="4"/>
      <c r="S32" s="17"/>
      <c r="T32" s="3"/>
      <c r="U32" s="3"/>
      <c r="W32" s="18"/>
      <c r="X32" s="19"/>
      <c r="Y32" s="19"/>
      <c r="Z32" s="24">
        <v>43590</v>
      </c>
      <c r="AA32" s="20" t="s">
        <v>39</v>
      </c>
      <c r="AB32" s="21" t="s">
        <v>9</v>
      </c>
    </row>
    <row r="33" spans="2:28" x14ac:dyDescent="0.2">
      <c r="B33" s="41"/>
      <c r="C33" s="3">
        <v>30</v>
      </c>
      <c r="D33" s="4">
        <f t="shared" si="0"/>
        <v>43403</v>
      </c>
      <c r="E33" s="16" t="str">
        <f t="shared" si="1"/>
        <v/>
      </c>
      <c r="F33" s="3"/>
      <c r="G33" s="3"/>
      <c r="I33" s="41"/>
      <c r="J33" s="3">
        <v>30</v>
      </c>
      <c r="K33" s="4">
        <f t="shared" si="2"/>
        <v>43464</v>
      </c>
      <c r="L33" s="17" t="str">
        <f t="shared" si="3"/>
        <v/>
      </c>
      <c r="M33" s="3"/>
      <c r="N33" s="3"/>
      <c r="P33" s="41"/>
      <c r="Q33" s="3"/>
      <c r="R33" s="4"/>
      <c r="S33" s="17"/>
      <c r="T33" s="3"/>
      <c r="U33" s="3"/>
      <c r="W33" s="18"/>
      <c r="X33" s="19"/>
      <c r="Y33" s="19"/>
      <c r="Z33" s="24">
        <v>43591</v>
      </c>
      <c r="AA33" s="20" t="s">
        <v>38</v>
      </c>
      <c r="AB33" s="21" t="s">
        <v>5</v>
      </c>
    </row>
    <row r="34" spans="2:28" ht="14.5" thickBot="1" x14ac:dyDescent="0.25">
      <c r="B34" s="42"/>
      <c r="C34" s="31">
        <v>31</v>
      </c>
      <c r="D34" s="4">
        <f t="shared" si="0"/>
        <v>43404</v>
      </c>
      <c r="E34" s="16" t="str">
        <f t="shared" si="1"/>
        <v/>
      </c>
      <c r="F34" s="31"/>
      <c r="G34" s="31"/>
      <c r="I34" s="42"/>
      <c r="J34" s="31">
        <v>31</v>
      </c>
      <c r="K34" s="4">
        <f t="shared" si="2"/>
        <v>43465</v>
      </c>
      <c r="L34" s="17" t="str">
        <f t="shared" si="3"/>
        <v/>
      </c>
      <c r="M34" s="31"/>
      <c r="N34" s="31"/>
      <c r="P34" s="42"/>
      <c r="Q34" s="31"/>
      <c r="R34" s="4"/>
      <c r="S34" s="17"/>
      <c r="T34" s="31"/>
      <c r="U34" s="31"/>
      <c r="W34" s="18"/>
      <c r="X34" s="19"/>
      <c r="Y34" s="19"/>
      <c r="Z34" s="24">
        <v>43661</v>
      </c>
      <c r="AA34" s="20" t="s">
        <v>38</v>
      </c>
      <c r="AB34" s="21" t="s">
        <v>10</v>
      </c>
    </row>
    <row r="35" spans="2:28" ht="14.5" thickTop="1" x14ac:dyDescent="0.2">
      <c r="B35" s="41">
        <f>W5</f>
        <v>11</v>
      </c>
      <c r="C35" s="29">
        <v>1</v>
      </c>
      <c r="D35" s="4">
        <f>DATE($X$4,$B$35,C35)</f>
        <v>43405</v>
      </c>
      <c r="E35" s="16" t="str">
        <f>IFERROR(VLOOKUP(DATE($X$5, $W$5, $C35), $Z$5:$AB$43, 3, FALSE), "")</f>
        <v/>
      </c>
      <c r="F35" s="29"/>
      <c r="G35" s="29"/>
      <c r="I35" s="43">
        <f>W7</f>
        <v>1</v>
      </c>
      <c r="J35" s="29">
        <v>1</v>
      </c>
      <c r="K35" s="30">
        <f>DATE(X$7,I$35,J35)</f>
        <v>43466</v>
      </c>
      <c r="L35" s="17" t="str">
        <f>IFERROR(VLOOKUP(DATE($X$7, $W$7, $J35), $Z$5:$AB$43, 3, FALSE), "")</f>
        <v>元日</v>
      </c>
      <c r="M35" s="29"/>
      <c r="N35" s="29"/>
      <c r="P35" s="43">
        <f>W9</f>
        <v>3</v>
      </c>
      <c r="Q35" s="29">
        <v>1</v>
      </c>
      <c r="R35" s="4">
        <f>DATE(X$8,P$35,Q35)</f>
        <v>43525</v>
      </c>
      <c r="S35" s="17" t="str">
        <f>IFERROR(VLOOKUP(DATE($X$9, $W$9,$Q35), $Z$5:$AB$43, 3, FALSE), "")</f>
        <v/>
      </c>
      <c r="T35" s="29"/>
      <c r="U35" s="29"/>
      <c r="W35" s="18"/>
      <c r="X35" s="19"/>
      <c r="Y35" s="19"/>
      <c r="Z35" s="24">
        <v>43688</v>
      </c>
      <c r="AA35" s="20" t="s">
        <v>39</v>
      </c>
      <c r="AB35" s="21" t="s">
        <v>11</v>
      </c>
    </row>
    <row r="36" spans="2:28" x14ac:dyDescent="0.2">
      <c r="B36" s="41"/>
      <c r="C36" s="3">
        <v>2</v>
      </c>
      <c r="D36" s="4">
        <f t="shared" ref="D36:D64" si="8">DATE($X$4,$B$35,C36)</f>
        <v>43406</v>
      </c>
      <c r="E36" s="16" t="str">
        <f t="shared" ref="E36:E65" si="9">IFERROR(VLOOKUP(DATE($X$5, $W$5, $C36), $Z$5:$AB$43, 3, FALSE), "")</f>
        <v/>
      </c>
      <c r="F36" s="3"/>
      <c r="G36" s="3"/>
      <c r="I36" s="41"/>
      <c r="J36" s="3">
        <v>2</v>
      </c>
      <c r="K36" s="30">
        <f t="shared" ref="K36:K65" si="10">DATE(X$7,I$35,J36)</f>
        <v>43467</v>
      </c>
      <c r="L36" s="17" t="str">
        <f t="shared" ref="L36:L65" si="11">IFERROR(VLOOKUP(DATE($X$7, $W$7, $J36), $Z$5:$AB$43, 3, FALSE), "")</f>
        <v/>
      </c>
      <c r="M36" s="3"/>
      <c r="N36" s="3"/>
      <c r="P36" s="41"/>
      <c r="Q36" s="3">
        <v>2</v>
      </c>
      <c r="R36" s="4">
        <f t="shared" ref="R36:R65" si="12">DATE(X$8,P$35,Q36)</f>
        <v>43526</v>
      </c>
      <c r="S36" s="17" t="str">
        <f t="shared" ref="S36:S65" si="13">IFERROR(VLOOKUP(DATE($X$9, $W$9,$Q36), $Z$5:$AB$43, 3, FALSE), "")</f>
        <v/>
      </c>
      <c r="T36" s="3"/>
      <c r="U36" s="3"/>
      <c r="W36" s="18"/>
      <c r="X36" s="19"/>
      <c r="Y36" s="19"/>
      <c r="Z36" s="24">
        <v>43689</v>
      </c>
      <c r="AA36" s="20" t="s">
        <v>38</v>
      </c>
      <c r="AB36" s="21" t="s">
        <v>5</v>
      </c>
    </row>
    <row r="37" spans="2:28" x14ac:dyDescent="0.2">
      <c r="B37" s="41"/>
      <c r="C37" s="3">
        <v>3</v>
      </c>
      <c r="D37" s="4">
        <f t="shared" si="8"/>
        <v>43407</v>
      </c>
      <c r="E37" s="16" t="str">
        <f t="shared" si="9"/>
        <v>文化の日</v>
      </c>
      <c r="F37" s="3"/>
      <c r="G37" s="3"/>
      <c r="I37" s="41"/>
      <c r="J37" s="3">
        <v>3</v>
      </c>
      <c r="K37" s="30">
        <f t="shared" si="10"/>
        <v>43468</v>
      </c>
      <c r="L37" s="17" t="str">
        <f t="shared" si="11"/>
        <v/>
      </c>
      <c r="M37" s="3"/>
      <c r="N37" s="3"/>
      <c r="P37" s="41"/>
      <c r="Q37" s="3">
        <v>3</v>
      </c>
      <c r="R37" s="4">
        <f t="shared" si="12"/>
        <v>43527</v>
      </c>
      <c r="S37" s="17" t="str">
        <f t="shared" si="13"/>
        <v/>
      </c>
      <c r="T37" s="3"/>
      <c r="U37" s="3"/>
      <c r="W37" s="18"/>
      <c r="X37" s="19"/>
      <c r="Y37" s="19"/>
      <c r="Z37" s="24">
        <v>43724</v>
      </c>
      <c r="AA37" s="20" t="s">
        <v>38</v>
      </c>
      <c r="AB37" s="21" t="s">
        <v>12</v>
      </c>
    </row>
    <row r="38" spans="2:28" x14ac:dyDescent="0.2">
      <c r="B38" s="41"/>
      <c r="C38" s="3">
        <v>4</v>
      </c>
      <c r="D38" s="4">
        <f t="shared" si="8"/>
        <v>43408</v>
      </c>
      <c r="E38" s="16" t="str">
        <f t="shared" si="9"/>
        <v/>
      </c>
      <c r="F38" s="3"/>
      <c r="G38" s="3"/>
      <c r="I38" s="41"/>
      <c r="J38" s="3">
        <v>4</v>
      </c>
      <c r="K38" s="30">
        <f t="shared" si="10"/>
        <v>43469</v>
      </c>
      <c r="L38" s="17" t="str">
        <f t="shared" si="11"/>
        <v/>
      </c>
      <c r="M38" s="3"/>
      <c r="N38" s="3"/>
      <c r="P38" s="41"/>
      <c r="Q38" s="3">
        <v>4</v>
      </c>
      <c r="R38" s="4">
        <f t="shared" si="12"/>
        <v>43528</v>
      </c>
      <c r="S38" s="17" t="str">
        <f t="shared" si="13"/>
        <v/>
      </c>
      <c r="T38" s="3"/>
      <c r="U38" s="3"/>
      <c r="W38" s="18"/>
      <c r="X38" s="19"/>
      <c r="Y38" s="19"/>
      <c r="Z38" s="24">
        <v>43731</v>
      </c>
      <c r="AA38" s="20" t="s">
        <v>38</v>
      </c>
      <c r="AB38" s="21" t="s">
        <v>13</v>
      </c>
    </row>
    <row r="39" spans="2:28" x14ac:dyDescent="0.2">
      <c r="B39" s="41"/>
      <c r="C39" s="3">
        <v>5</v>
      </c>
      <c r="D39" s="4">
        <f t="shared" si="8"/>
        <v>43409</v>
      </c>
      <c r="E39" s="16" t="str">
        <f t="shared" si="9"/>
        <v/>
      </c>
      <c r="F39" s="3"/>
      <c r="G39" s="3"/>
      <c r="I39" s="41"/>
      <c r="J39" s="3">
        <v>5</v>
      </c>
      <c r="K39" s="30">
        <f t="shared" si="10"/>
        <v>43470</v>
      </c>
      <c r="L39" s="17" t="str">
        <f t="shared" si="11"/>
        <v/>
      </c>
      <c r="M39" s="3"/>
      <c r="N39" s="3"/>
      <c r="P39" s="41"/>
      <c r="Q39" s="3">
        <v>5</v>
      </c>
      <c r="R39" s="4">
        <f t="shared" si="12"/>
        <v>43529</v>
      </c>
      <c r="S39" s="17" t="str">
        <f t="shared" si="13"/>
        <v/>
      </c>
      <c r="T39" s="3"/>
      <c r="U39" s="3"/>
      <c r="W39" s="18"/>
      <c r="X39" s="19"/>
      <c r="Y39" s="19"/>
      <c r="Z39" s="24">
        <v>43752</v>
      </c>
      <c r="AA39" s="20" t="s">
        <v>38</v>
      </c>
      <c r="AB39" s="21" t="s">
        <v>14</v>
      </c>
    </row>
    <row r="40" spans="2:28" x14ac:dyDescent="0.2">
      <c r="B40" s="41"/>
      <c r="C40" s="3">
        <v>6</v>
      </c>
      <c r="D40" s="4">
        <f t="shared" si="8"/>
        <v>43410</v>
      </c>
      <c r="E40" s="16" t="str">
        <f t="shared" si="9"/>
        <v/>
      </c>
      <c r="F40" s="3"/>
      <c r="G40" s="3"/>
      <c r="I40" s="41"/>
      <c r="J40" s="3">
        <v>6</v>
      </c>
      <c r="K40" s="30">
        <f t="shared" si="10"/>
        <v>43471</v>
      </c>
      <c r="L40" s="17" t="str">
        <f t="shared" si="11"/>
        <v/>
      </c>
      <c r="M40" s="3"/>
      <c r="N40" s="3"/>
      <c r="P40" s="41"/>
      <c r="Q40" s="3">
        <v>6</v>
      </c>
      <c r="R40" s="4">
        <f t="shared" si="12"/>
        <v>43530</v>
      </c>
      <c r="S40" s="17" t="str">
        <f t="shared" si="13"/>
        <v/>
      </c>
      <c r="T40" s="3"/>
      <c r="U40" s="3"/>
      <c r="W40" s="36"/>
      <c r="Z40" s="24">
        <v>43772</v>
      </c>
      <c r="AA40" s="20" t="s">
        <v>39</v>
      </c>
      <c r="AB40" s="21" t="s">
        <v>15</v>
      </c>
    </row>
    <row r="41" spans="2:28" x14ac:dyDescent="0.2">
      <c r="B41" s="41"/>
      <c r="C41" s="3">
        <v>7</v>
      </c>
      <c r="D41" s="4">
        <f t="shared" si="8"/>
        <v>43411</v>
      </c>
      <c r="E41" s="16" t="str">
        <f t="shared" si="9"/>
        <v/>
      </c>
      <c r="F41" s="3"/>
      <c r="G41" s="3"/>
      <c r="I41" s="41"/>
      <c r="J41" s="3">
        <v>7</v>
      </c>
      <c r="K41" s="30">
        <f t="shared" si="10"/>
        <v>43472</v>
      </c>
      <c r="L41" s="17" t="str">
        <f t="shared" si="11"/>
        <v/>
      </c>
      <c r="M41" s="3"/>
      <c r="N41" s="3"/>
      <c r="P41" s="41"/>
      <c r="Q41" s="3">
        <v>7</v>
      </c>
      <c r="R41" s="4">
        <f t="shared" si="12"/>
        <v>43531</v>
      </c>
      <c r="S41" s="17" t="str">
        <f t="shared" si="13"/>
        <v/>
      </c>
      <c r="T41" s="3"/>
      <c r="U41" s="3"/>
      <c r="W41" s="37"/>
      <c r="Z41" s="24">
        <v>43773</v>
      </c>
      <c r="AA41" s="20" t="s">
        <v>38</v>
      </c>
      <c r="AB41" s="21" t="s">
        <v>5</v>
      </c>
    </row>
    <row r="42" spans="2:28" x14ac:dyDescent="0.2">
      <c r="B42" s="41"/>
      <c r="C42" s="3">
        <v>8</v>
      </c>
      <c r="D42" s="4">
        <f t="shared" si="8"/>
        <v>43412</v>
      </c>
      <c r="E42" s="16" t="str">
        <f t="shared" si="9"/>
        <v/>
      </c>
      <c r="F42" s="3"/>
      <c r="G42" s="3"/>
      <c r="I42" s="41"/>
      <c r="J42" s="3">
        <v>8</v>
      </c>
      <c r="K42" s="30">
        <f t="shared" si="10"/>
        <v>43473</v>
      </c>
      <c r="L42" s="17" t="str">
        <f t="shared" si="11"/>
        <v/>
      </c>
      <c r="M42" s="3"/>
      <c r="N42" s="3"/>
      <c r="P42" s="41"/>
      <c r="Q42" s="3">
        <v>8</v>
      </c>
      <c r="R42" s="4">
        <f t="shared" si="12"/>
        <v>43532</v>
      </c>
      <c r="S42" s="17" t="str">
        <f t="shared" si="13"/>
        <v/>
      </c>
      <c r="T42" s="3"/>
      <c r="U42" s="3"/>
      <c r="W42" s="38"/>
      <c r="Z42" s="24">
        <v>43792</v>
      </c>
      <c r="AA42" s="20" t="s">
        <v>43</v>
      </c>
      <c r="AB42" s="21" t="s">
        <v>16</v>
      </c>
    </row>
    <row r="43" spans="2:28" ht="14.5" thickBot="1" x14ac:dyDescent="0.25">
      <c r="B43" s="41"/>
      <c r="C43" s="3">
        <v>9</v>
      </c>
      <c r="D43" s="4">
        <f t="shared" si="8"/>
        <v>43413</v>
      </c>
      <c r="E43" s="16" t="str">
        <f t="shared" si="9"/>
        <v/>
      </c>
      <c r="F43" s="3"/>
      <c r="G43" s="3"/>
      <c r="I43" s="41"/>
      <c r="J43" s="3">
        <v>9</v>
      </c>
      <c r="K43" s="30">
        <f t="shared" si="10"/>
        <v>43474</v>
      </c>
      <c r="L43" s="17" t="str">
        <f t="shared" si="11"/>
        <v/>
      </c>
      <c r="M43" s="3"/>
      <c r="N43" s="3"/>
      <c r="P43" s="41"/>
      <c r="Q43" s="3">
        <v>9</v>
      </c>
      <c r="R43" s="4">
        <f t="shared" si="12"/>
        <v>43533</v>
      </c>
      <c r="S43" s="17" t="str">
        <f t="shared" si="13"/>
        <v/>
      </c>
      <c r="T43" s="3"/>
      <c r="U43" s="3"/>
      <c r="W43" s="39"/>
      <c r="X43" s="40"/>
      <c r="Y43" s="40"/>
      <c r="Z43" s="25">
        <v>43822</v>
      </c>
      <c r="AA43" s="26" t="s">
        <v>38</v>
      </c>
      <c r="AB43" s="27" t="s">
        <v>17</v>
      </c>
    </row>
    <row r="44" spans="2:28" x14ac:dyDescent="0.2">
      <c r="B44" s="41"/>
      <c r="C44" s="3">
        <v>10</v>
      </c>
      <c r="D44" s="4">
        <f t="shared" si="8"/>
        <v>43414</v>
      </c>
      <c r="E44" s="16" t="str">
        <f t="shared" si="9"/>
        <v/>
      </c>
      <c r="F44" s="3"/>
      <c r="G44" s="3"/>
      <c r="I44" s="41"/>
      <c r="J44" s="3">
        <v>10</v>
      </c>
      <c r="K44" s="30">
        <f t="shared" si="10"/>
        <v>43475</v>
      </c>
      <c r="L44" s="17" t="str">
        <f t="shared" si="11"/>
        <v/>
      </c>
      <c r="M44" s="3"/>
      <c r="N44" s="3"/>
      <c r="P44" s="41"/>
      <c r="Q44" s="3">
        <v>10</v>
      </c>
      <c r="R44" s="4">
        <f t="shared" si="12"/>
        <v>43534</v>
      </c>
      <c r="S44" s="17" t="str">
        <f t="shared" si="13"/>
        <v/>
      </c>
      <c r="T44" s="3"/>
      <c r="U44" s="3"/>
      <c r="Z44" s="35"/>
    </row>
    <row r="45" spans="2:28" x14ac:dyDescent="0.2">
      <c r="B45" s="41"/>
      <c r="C45" s="3">
        <v>11</v>
      </c>
      <c r="D45" s="4">
        <f t="shared" si="8"/>
        <v>43415</v>
      </c>
      <c r="E45" s="16" t="str">
        <f t="shared" si="9"/>
        <v/>
      </c>
      <c r="F45" s="47" t="s">
        <v>27</v>
      </c>
      <c r="G45" s="48"/>
      <c r="I45" s="41"/>
      <c r="J45" s="3">
        <v>11</v>
      </c>
      <c r="K45" s="30">
        <f t="shared" si="10"/>
        <v>43476</v>
      </c>
      <c r="L45" s="17" t="str">
        <f t="shared" si="11"/>
        <v/>
      </c>
      <c r="M45" s="3"/>
      <c r="N45" s="3"/>
      <c r="P45" s="41"/>
      <c r="Q45" s="3">
        <v>11</v>
      </c>
      <c r="R45" s="4">
        <f t="shared" si="12"/>
        <v>43535</v>
      </c>
      <c r="S45" s="17" t="str">
        <f t="shared" si="13"/>
        <v/>
      </c>
      <c r="T45" s="3"/>
      <c r="U45" s="3"/>
    </row>
    <row r="46" spans="2:28" x14ac:dyDescent="0.2">
      <c r="B46" s="41"/>
      <c r="C46" s="3">
        <v>12</v>
      </c>
      <c r="D46" s="4">
        <f t="shared" si="8"/>
        <v>43416</v>
      </c>
      <c r="E46" s="16" t="str">
        <f t="shared" si="9"/>
        <v/>
      </c>
      <c r="F46" s="3"/>
      <c r="G46" s="3"/>
      <c r="I46" s="41"/>
      <c r="J46" s="3">
        <v>12</v>
      </c>
      <c r="K46" s="30">
        <f t="shared" si="10"/>
        <v>43477</v>
      </c>
      <c r="L46" s="17" t="str">
        <f t="shared" si="11"/>
        <v/>
      </c>
      <c r="M46" s="3" t="s">
        <v>35</v>
      </c>
      <c r="N46" s="3"/>
      <c r="P46" s="41"/>
      <c r="Q46" s="3">
        <v>12</v>
      </c>
      <c r="R46" s="4">
        <f t="shared" si="12"/>
        <v>43536</v>
      </c>
      <c r="S46" s="17" t="str">
        <f t="shared" si="13"/>
        <v/>
      </c>
      <c r="T46" s="3"/>
      <c r="U46" s="3"/>
      <c r="Z46" s="34"/>
    </row>
    <row r="47" spans="2:28" x14ac:dyDescent="0.2">
      <c r="B47" s="41"/>
      <c r="C47" s="3">
        <v>13</v>
      </c>
      <c r="D47" s="4">
        <f t="shared" si="8"/>
        <v>43417</v>
      </c>
      <c r="E47" s="16" t="str">
        <f t="shared" si="9"/>
        <v/>
      </c>
      <c r="F47" s="3"/>
      <c r="G47" s="3"/>
      <c r="I47" s="41"/>
      <c r="J47" s="3">
        <v>13</v>
      </c>
      <c r="K47" s="30">
        <f t="shared" si="10"/>
        <v>43478</v>
      </c>
      <c r="L47" s="17" t="str">
        <f t="shared" si="11"/>
        <v/>
      </c>
      <c r="M47" s="3"/>
      <c r="N47" s="3"/>
      <c r="P47" s="41"/>
      <c r="Q47" s="3">
        <v>13</v>
      </c>
      <c r="R47" s="4">
        <f t="shared" si="12"/>
        <v>43537</v>
      </c>
      <c r="S47" s="17" t="str">
        <f t="shared" si="13"/>
        <v/>
      </c>
      <c r="T47" s="3"/>
      <c r="U47" s="3"/>
    </row>
    <row r="48" spans="2:28" x14ac:dyDescent="0.2">
      <c r="B48" s="41"/>
      <c r="C48" s="3">
        <v>14</v>
      </c>
      <c r="D48" s="4">
        <f t="shared" si="8"/>
        <v>43418</v>
      </c>
      <c r="E48" s="16" t="str">
        <f t="shared" si="9"/>
        <v/>
      </c>
      <c r="F48" s="3"/>
      <c r="G48" s="3"/>
      <c r="I48" s="41"/>
      <c r="J48" s="3">
        <v>14</v>
      </c>
      <c r="K48" s="30">
        <f t="shared" si="10"/>
        <v>43479</v>
      </c>
      <c r="L48" s="17" t="str">
        <f t="shared" si="11"/>
        <v>成人の日</v>
      </c>
      <c r="M48" s="3"/>
      <c r="N48" s="3"/>
      <c r="P48" s="41"/>
      <c r="Q48" s="3">
        <v>14</v>
      </c>
      <c r="R48" s="4">
        <f t="shared" si="12"/>
        <v>43538</v>
      </c>
      <c r="S48" s="17" t="str">
        <f t="shared" si="13"/>
        <v/>
      </c>
      <c r="T48" s="3"/>
      <c r="U48" s="3"/>
    </row>
    <row r="49" spans="2:21" x14ac:dyDescent="0.2">
      <c r="B49" s="41"/>
      <c r="C49" s="3">
        <v>15</v>
      </c>
      <c r="D49" s="4">
        <f t="shared" si="8"/>
        <v>43419</v>
      </c>
      <c r="E49" s="16" t="str">
        <f t="shared" si="9"/>
        <v/>
      </c>
      <c r="F49" s="3"/>
      <c r="G49" s="3"/>
      <c r="I49" s="41"/>
      <c r="J49" s="3">
        <v>15</v>
      </c>
      <c r="K49" s="30">
        <f t="shared" si="10"/>
        <v>43480</v>
      </c>
      <c r="L49" s="17" t="str">
        <f t="shared" si="11"/>
        <v/>
      </c>
      <c r="M49" s="3"/>
      <c r="N49" s="3"/>
      <c r="P49" s="41"/>
      <c r="Q49" s="3">
        <v>15</v>
      </c>
      <c r="R49" s="4">
        <f t="shared" si="12"/>
        <v>43539</v>
      </c>
      <c r="S49" s="17" t="str">
        <f t="shared" si="13"/>
        <v/>
      </c>
      <c r="T49" s="3"/>
      <c r="U49" s="3"/>
    </row>
    <row r="50" spans="2:21" x14ac:dyDescent="0.2">
      <c r="B50" s="41"/>
      <c r="C50" s="3">
        <v>16</v>
      </c>
      <c r="D50" s="4">
        <f t="shared" si="8"/>
        <v>43420</v>
      </c>
      <c r="E50" s="16" t="str">
        <f t="shared" si="9"/>
        <v/>
      </c>
      <c r="F50" s="3"/>
      <c r="G50" s="3"/>
      <c r="I50" s="41"/>
      <c r="J50" s="3">
        <v>16</v>
      </c>
      <c r="K50" s="30">
        <f t="shared" si="10"/>
        <v>43481</v>
      </c>
      <c r="L50" s="17" t="str">
        <f t="shared" si="11"/>
        <v/>
      </c>
      <c r="M50" s="3"/>
      <c r="N50" s="3"/>
      <c r="P50" s="41"/>
      <c r="Q50" s="3">
        <v>16</v>
      </c>
      <c r="R50" s="4">
        <f t="shared" si="12"/>
        <v>43540</v>
      </c>
      <c r="S50" s="17" t="str">
        <f t="shared" si="13"/>
        <v/>
      </c>
      <c r="T50" s="3"/>
      <c r="U50" s="3"/>
    </row>
    <row r="51" spans="2:21" x14ac:dyDescent="0.2">
      <c r="B51" s="41"/>
      <c r="C51" s="3">
        <v>17</v>
      </c>
      <c r="D51" s="4">
        <f t="shared" si="8"/>
        <v>43421</v>
      </c>
      <c r="E51" s="16" t="str">
        <f t="shared" si="9"/>
        <v/>
      </c>
      <c r="F51" s="3"/>
      <c r="G51" s="3"/>
      <c r="I51" s="41"/>
      <c r="J51" s="3">
        <v>17</v>
      </c>
      <c r="K51" s="30">
        <f t="shared" si="10"/>
        <v>43482</v>
      </c>
      <c r="L51" s="17" t="str">
        <f t="shared" si="11"/>
        <v/>
      </c>
      <c r="M51" s="3"/>
      <c r="N51" s="3"/>
      <c r="P51" s="41"/>
      <c r="Q51" s="3">
        <v>17</v>
      </c>
      <c r="R51" s="4">
        <f t="shared" si="12"/>
        <v>43541</v>
      </c>
      <c r="S51" s="17" t="str">
        <f t="shared" si="13"/>
        <v/>
      </c>
      <c r="T51" s="3"/>
      <c r="U51" s="3"/>
    </row>
    <row r="52" spans="2:21" x14ac:dyDescent="0.2">
      <c r="B52" s="41"/>
      <c r="C52" s="3">
        <v>18</v>
      </c>
      <c r="D52" s="4">
        <f t="shared" si="8"/>
        <v>43422</v>
      </c>
      <c r="E52" s="16" t="str">
        <f t="shared" si="9"/>
        <v/>
      </c>
      <c r="F52" s="3"/>
      <c r="G52" s="3"/>
      <c r="I52" s="41"/>
      <c r="J52" s="3">
        <v>18</v>
      </c>
      <c r="K52" s="30">
        <f t="shared" si="10"/>
        <v>43483</v>
      </c>
      <c r="L52" s="17" t="str">
        <f t="shared" si="11"/>
        <v/>
      </c>
      <c r="M52" s="3"/>
      <c r="N52" s="3"/>
      <c r="P52" s="41"/>
      <c r="Q52" s="3">
        <v>18</v>
      </c>
      <c r="R52" s="4">
        <f t="shared" si="12"/>
        <v>43542</v>
      </c>
      <c r="S52" s="17" t="str">
        <f t="shared" si="13"/>
        <v/>
      </c>
      <c r="T52" s="3"/>
      <c r="U52" s="3"/>
    </row>
    <row r="53" spans="2:21" x14ac:dyDescent="0.2">
      <c r="B53" s="41"/>
      <c r="C53" s="3">
        <v>19</v>
      </c>
      <c r="D53" s="4">
        <f t="shared" si="8"/>
        <v>43423</v>
      </c>
      <c r="E53" s="16" t="str">
        <f t="shared" si="9"/>
        <v/>
      </c>
      <c r="F53" s="3"/>
      <c r="G53" s="3"/>
      <c r="I53" s="41"/>
      <c r="J53" s="3">
        <v>19</v>
      </c>
      <c r="K53" s="30">
        <f t="shared" si="10"/>
        <v>43484</v>
      </c>
      <c r="L53" s="17" t="str">
        <f t="shared" si="11"/>
        <v/>
      </c>
      <c r="M53" s="3"/>
      <c r="N53" s="3"/>
      <c r="P53" s="41"/>
      <c r="Q53" s="3">
        <v>19</v>
      </c>
      <c r="R53" s="4">
        <f t="shared" si="12"/>
        <v>43543</v>
      </c>
      <c r="S53" s="17" t="str">
        <f t="shared" si="13"/>
        <v/>
      </c>
      <c r="T53" s="3"/>
      <c r="U53" s="3"/>
    </row>
    <row r="54" spans="2:21" x14ac:dyDescent="0.2">
      <c r="B54" s="41"/>
      <c r="C54" s="3">
        <v>20</v>
      </c>
      <c r="D54" s="4">
        <f t="shared" si="8"/>
        <v>43424</v>
      </c>
      <c r="E54" s="16" t="str">
        <f t="shared" si="9"/>
        <v/>
      </c>
      <c r="F54" s="3"/>
      <c r="G54" s="3"/>
      <c r="I54" s="41"/>
      <c r="J54" s="3">
        <v>20</v>
      </c>
      <c r="K54" s="30">
        <f t="shared" si="10"/>
        <v>43485</v>
      </c>
      <c r="L54" s="17" t="str">
        <f t="shared" si="11"/>
        <v/>
      </c>
      <c r="M54" s="3"/>
      <c r="N54" s="3"/>
      <c r="P54" s="41"/>
      <c r="Q54" s="3">
        <v>20</v>
      </c>
      <c r="R54" s="4">
        <f t="shared" si="12"/>
        <v>43544</v>
      </c>
      <c r="S54" s="17" t="str">
        <f t="shared" si="13"/>
        <v/>
      </c>
      <c r="T54" s="3"/>
      <c r="U54" s="3"/>
    </row>
    <row r="55" spans="2:21" x14ac:dyDescent="0.2">
      <c r="B55" s="41"/>
      <c r="C55" s="3">
        <v>21</v>
      </c>
      <c r="D55" s="4">
        <f t="shared" si="8"/>
        <v>43425</v>
      </c>
      <c r="E55" s="16" t="str">
        <f t="shared" si="9"/>
        <v/>
      </c>
      <c r="F55" s="3"/>
      <c r="G55" s="3"/>
      <c r="I55" s="41"/>
      <c r="J55" s="3">
        <v>21</v>
      </c>
      <c r="K55" s="30">
        <f t="shared" si="10"/>
        <v>43486</v>
      </c>
      <c r="L55" s="17" t="str">
        <f t="shared" si="11"/>
        <v/>
      </c>
      <c r="M55" s="3"/>
      <c r="N55" s="3"/>
      <c r="P55" s="41"/>
      <c r="Q55" s="3">
        <v>21</v>
      </c>
      <c r="R55" s="4">
        <f t="shared" si="12"/>
        <v>43545</v>
      </c>
      <c r="S55" s="17" t="str">
        <f t="shared" si="13"/>
        <v>春分の日</v>
      </c>
      <c r="T55" s="3"/>
      <c r="U55" s="3"/>
    </row>
    <row r="56" spans="2:21" x14ac:dyDescent="0.2">
      <c r="B56" s="41"/>
      <c r="C56" s="3">
        <v>22</v>
      </c>
      <c r="D56" s="4">
        <f t="shared" si="8"/>
        <v>43426</v>
      </c>
      <c r="E56" s="16" t="str">
        <f t="shared" si="9"/>
        <v/>
      </c>
      <c r="F56" s="3"/>
      <c r="G56" s="3"/>
      <c r="I56" s="41"/>
      <c r="J56" s="3">
        <v>22</v>
      </c>
      <c r="K56" s="30">
        <f t="shared" si="10"/>
        <v>43487</v>
      </c>
      <c r="L56" s="17" t="str">
        <f t="shared" si="11"/>
        <v/>
      </c>
      <c r="M56" s="3"/>
      <c r="N56" s="3"/>
      <c r="P56" s="41"/>
      <c r="Q56" s="3">
        <v>22</v>
      </c>
      <c r="R56" s="4">
        <f t="shared" si="12"/>
        <v>43546</v>
      </c>
      <c r="S56" s="17" t="str">
        <f t="shared" si="13"/>
        <v/>
      </c>
      <c r="T56" s="3"/>
      <c r="U56" s="3"/>
    </row>
    <row r="57" spans="2:21" x14ac:dyDescent="0.2">
      <c r="B57" s="41"/>
      <c r="C57" s="3">
        <v>23</v>
      </c>
      <c r="D57" s="4">
        <f t="shared" si="8"/>
        <v>43427</v>
      </c>
      <c r="E57" s="16" t="str">
        <f t="shared" si="9"/>
        <v>勤労感謝の日</v>
      </c>
      <c r="F57" s="3"/>
      <c r="G57" s="3"/>
      <c r="I57" s="41"/>
      <c r="J57" s="3">
        <v>23</v>
      </c>
      <c r="K57" s="30">
        <f t="shared" si="10"/>
        <v>43488</v>
      </c>
      <c r="L57" s="17" t="str">
        <f t="shared" si="11"/>
        <v/>
      </c>
      <c r="M57" s="3"/>
      <c r="N57" s="3"/>
      <c r="P57" s="41"/>
      <c r="Q57" s="3">
        <v>23</v>
      </c>
      <c r="R57" s="4">
        <f t="shared" si="12"/>
        <v>43547</v>
      </c>
      <c r="S57" s="17" t="str">
        <f t="shared" si="13"/>
        <v/>
      </c>
      <c r="T57" s="3"/>
      <c r="U57" s="3"/>
    </row>
    <row r="58" spans="2:21" x14ac:dyDescent="0.2">
      <c r="B58" s="41"/>
      <c r="C58" s="3">
        <v>24</v>
      </c>
      <c r="D58" s="4">
        <f t="shared" si="8"/>
        <v>43428</v>
      </c>
      <c r="E58" s="16" t="str">
        <f t="shared" si="9"/>
        <v/>
      </c>
      <c r="F58" s="3" t="s">
        <v>24</v>
      </c>
      <c r="G58" s="3"/>
      <c r="I58" s="41"/>
      <c r="J58" s="3">
        <v>24</v>
      </c>
      <c r="K58" s="30">
        <f t="shared" si="10"/>
        <v>43489</v>
      </c>
      <c r="L58" s="17" t="str">
        <f t="shared" si="11"/>
        <v/>
      </c>
      <c r="M58" s="3"/>
      <c r="N58" s="3"/>
      <c r="P58" s="41"/>
      <c r="Q58" s="3">
        <v>24</v>
      </c>
      <c r="R58" s="4">
        <f t="shared" si="12"/>
        <v>43548</v>
      </c>
      <c r="S58" s="17" t="str">
        <f t="shared" si="13"/>
        <v/>
      </c>
      <c r="T58" s="3"/>
      <c r="U58" s="3"/>
    </row>
    <row r="59" spans="2:21" x14ac:dyDescent="0.2">
      <c r="B59" s="41"/>
      <c r="C59" s="3">
        <v>25</v>
      </c>
      <c r="D59" s="4">
        <f t="shared" si="8"/>
        <v>43429</v>
      </c>
      <c r="E59" s="16" t="str">
        <f t="shared" si="9"/>
        <v/>
      </c>
      <c r="F59" s="3"/>
      <c r="G59" s="3"/>
      <c r="I59" s="41"/>
      <c r="J59" s="3">
        <v>25</v>
      </c>
      <c r="K59" s="30">
        <f t="shared" si="10"/>
        <v>43490</v>
      </c>
      <c r="L59" s="17" t="str">
        <f t="shared" si="11"/>
        <v/>
      </c>
      <c r="M59" s="3"/>
      <c r="N59" s="3"/>
      <c r="P59" s="41"/>
      <c r="Q59" s="3">
        <v>25</v>
      </c>
      <c r="R59" s="4">
        <f t="shared" si="12"/>
        <v>43549</v>
      </c>
      <c r="S59" s="17" t="str">
        <f t="shared" si="13"/>
        <v/>
      </c>
      <c r="T59" s="3"/>
      <c r="U59" s="3"/>
    </row>
    <row r="60" spans="2:21" x14ac:dyDescent="0.2">
      <c r="B60" s="41"/>
      <c r="C60" s="3">
        <v>26</v>
      </c>
      <c r="D60" s="4">
        <f t="shared" si="8"/>
        <v>43430</v>
      </c>
      <c r="E60" s="16" t="str">
        <f t="shared" si="9"/>
        <v/>
      </c>
      <c r="F60" s="3"/>
      <c r="G60" s="3"/>
      <c r="I60" s="41"/>
      <c r="J60" s="3">
        <v>26</v>
      </c>
      <c r="K60" s="30">
        <f t="shared" si="10"/>
        <v>43491</v>
      </c>
      <c r="L60" s="17" t="str">
        <f t="shared" si="11"/>
        <v/>
      </c>
      <c r="M60" s="3"/>
      <c r="N60" s="3"/>
      <c r="P60" s="41"/>
      <c r="Q60" s="3">
        <v>26</v>
      </c>
      <c r="R60" s="4">
        <f t="shared" si="12"/>
        <v>43550</v>
      </c>
      <c r="S60" s="17" t="str">
        <f t="shared" si="13"/>
        <v/>
      </c>
      <c r="T60" s="3"/>
      <c r="U60" s="3"/>
    </row>
    <row r="61" spans="2:21" x14ac:dyDescent="0.2">
      <c r="B61" s="41"/>
      <c r="C61" s="3">
        <v>27</v>
      </c>
      <c r="D61" s="4">
        <f t="shared" si="8"/>
        <v>43431</v>
      </c>
      <c r="E61" s="16" t="str">
        <f t="shared" si="9"/>
        <v/>
      </c>
      <c r="F61" s="3"/>
      <c r="G61" s="3"/>
      <c r="I61" s="41"/>
      <c r="J61" s="3">
        <v>27</v>
      </c>
      <c r="K61" s="30">
        <f t="shared" si="10"/>
        <v>43492</v>
      </c>
      <c r="L61" s="17" t="str">
        <f t="shared" si="11"/>
        <v/>
      </c>
      <c r="M61" s="3"/>
      <c r="N61" s="3"/>
      <c r="P61" s="41"/>
      <c r="Q61" s="3">
        <v>27</v>
      </c>
      <c r="R61" s="4">
        <f t="shared" si="12"/>
        <v>43551</v>
      </c>
      <c r="S61" s="17" t="str">
        <f t="shared" si="13"/>
        <v/>
      </c>
      <c r="T61" s="3"/>
      <c r="U61" s="3"/>
    </row>
    <row r="62" spans="2:21" x14ac:dyDescent="0.2">
      <c r="B62" s="41"/>
      <c r="C62" s="3">
        <v>28</v>
      </c>
      <c r="D62" s="4">
        <f t="shared" si="8"/>
        <v>43432</v>
      </c>
      <c r="E62" s="16" t="str">
        <f t="shared" si="9"/>
        <v/>
      </c>
      <c r="F62" s="3"/>
      <c r="G62" s="3" t="s">
        <v>33</v>
      </c>
      <c r="I62" s="41"/>
      <c r="J62" s="3">
        <v>28</v>
      </c>
      <c r="K62" s="30">
        <f t="shared" si="10"/>
        <v>43493</v>
      </c>
      <c r="L62" s="17" t="str">
        <f t="shared" si="11"/>
        <v/>
      </c>
      <c r="M62" s="3"/>
      <c r="N62" s="3"/>
      <c r="P62" s="41"/>
      <c r="Q62" s="3">
        <v>28</v>
      </c>
      <c r="R62" s="4">
        <f t="shared" si="12"/>
        <v>43552</v>
      </c>
      <c r="S62" s="17" t="str">
        <f t="shared" si="13"/>
        <v/>
      </c>
      <c r="T62" s="3"/>
      <c r="U62" s="3"/>
    </row>
    <row r="63" spans="2:21" x14ac:dyDescent="0.2">
      <c r="B63" s="41"/>
      <c r="C63" s="3">
        <v>29</v>
      </c>
      <c r="D63" s="4">
        <f t="shared" si="8"/>
        <v>43433</v>
      </c>
      <c r="E63" s="16" t="str">
        <f t="shared" si="9"/>
        <v/>
      </c>
      <c r="F63" s="3"/>
      <c r="G63" s="3"/>
      <c r="I63" s="41"/>
      <c r="J63" s="3">
        <v>29</v>
      </c>
      <c r="K63" s="30">
        <f t="shared" si="10"/>
        <v>43494</v>
      </c>
      <c r="L63" s="17" t="str">
        <f t="shared" si="11"/>
        <v/>
      </c>
      <c r="M63" s="3"/>
      <c r="N63" s="3"/>
      <c r="P63" s="41"/>
      <c r="Q63" s="3">
        <v>29</v>
      </c>
      <c r="R63" s="4">
        <f t="shared" si="12"/>
        <v>43553</v>
      </c>
      <c r="S63" s="17" t="str">
        <f t="shared" si="13"/>
        <v/>
      </c>
      <c r="T63" s="3"/>
      <c r="U63" s="3"/>
    </row>
    <row r="64" spans="2:21" x14ac:dyDescent="0.2">
      <c r="B64" s="41"/>
      <c r="C64" s="3">
        <v>30</v>
      </c>
      <c r="D64" s="4">
        <f t="shared" si="8"/>
        <v>43434</v>
      </c>
      <c r="E64" s="16" t="str">
        <f t="shared" si="9"/>
        <v/>
      </c>
      <c r="F64" s="3"/>
      <c r="G64" s="3"/>
      <c r="I64" s="41"/>
      <c r="J64" s="3">
        <v>30</v>
      </c>
      <c r="K64" s="30">
        <f t="shared" si="10"/>
        <v>43495</v>
      </c>
      <c r="L64" s="17" t="str">
        <f t="shared" si="11"/>
        <v/>
      </c>
      <c r="M64" s="3"/>
      <c r="N64" s="3"/>
      <c r="P64" s="41"/>
      <c r="Q64" s="3">
        <v>30</v>
      </c>
      <c r="R64" s="4">
        <f t="shared" si="12"/>
        <v>43554</v>
      </c>
      <c r="S64" s="17" t="str">
        <f t="shared" si="13"/>
        <v/>
      </c>
      <c r="T64" s="3"/>
      <c r="U64" s="3"/>
    </row>
    <row r="65" spans="2:21" ht="14.5" thickBot="1" x14ac:dyDescent="0.25">
      <c r="B65" s="42"/>
      <c r="C65" s="3"/>
      <c r="D65" s="4"/>
      <c r="E65" s="16" t="str">
        <f>IFERROR(VLOOKUP(DATE($X$5, $W$5, $C65), $Z$5:$AB$43, 3, FALSE), "")</f>
        <v/>
      </c>
      <c r="F65" s="3"/>
      <c r="G65" s="3"/>
      <c r="I65" s="41"/>
      <c r="J65" s="3">
        <v>31</v>
      </c>
      <c r="K65" s="30">
        <f t="shared" si="10"/>
        <v>43496</v>
      </c>
      <c r="L65" s="17" t="str">
        <f t="shared" si="11"/>
        <v/>
      </c>
      <c r="M65" s="3"/>
      <c r="N65" s="3"/>
      <c r="P65" s="41"/>
      <c r="Q65" s="3">
        <v>31</v>
      </c>
      <c r="R65" s="4">
        <f t="shared" si="12"/>
        <v>43555</v>
      </c>
      <c r="S65" s="17" t="str">
        <f t="shared" si="13"/>
        <v/>
      </c>
      <c r="T65" s="3"/>
      <c r="U65" s="3"/>
    </row>
    <row r="66" spans="2:21" ht="14.5" thickTop="1" x14ac:dyDescent="0.2"/>
  </sheetData>
  <mergeCells count="10">
    <mergeCell ref="P4:P34"/>
    <mergeCell ref="P35:P65"/>
    <mergeCell ref="B3:D3"/>
    <mergeCell ref="F17:G17"/>
    <mergeCell ref="F30:G30"/>
    <mergeCell ref="F45:G45"/>
    <mergeCell ref="B4:B34"/>
    <mergeCell ref="B35:B65"/>
    <mergeCell ref="I4:I34"/>
    <mergeCell ref="I35:I65"/>
  </mergeCells>
  <phoneticPr fontId="2"/>
  <conditionalFormatting sqref="C4:G64">
    <cfRule type="expression" dxfId="23" priority="10">
      <formula>$E4&lt;&gt;""</formula>
    </cfRule>
    <cfRule type="expression" dxfId="22" priority="11">
      <formula>WEEKDAY($D4)=7</formula>
    </cfRule>
    <cfRule type="expression" dxfId="21" priority="12">
      <formula>WEEKDAY($D4)=1</formula>
    </cfRule>
  </conditionalFormatting>
  <conditionalFormatting sqref="J4:N65">
    <cfRule type="expression" dxfId="20" priority="4">
      <formula>$L4&lt;&gt;""</formula>
    </cfRule>
    <cfRule type="expression" dxfId="19" priority="5">
      <formula>WEEKDAY($K4)=7</formula>
    </cfRule>
    <cfRule type="expression" dxfId="18" priority="6">
      <formula>WEEKDAY($K4)=1</formula>
    </cfRule>
  </conditionalFormatting>
  <conditionalFormatting sqref="Q4:U31 Q35:U65">
    <cfRule type="expression" dxfId="17" priority="3">
      <formula>WEEKDAY($R4)=1</formula>
    </cfRule>
    <cfRule type="expression" dxfId="16" priority="2">
      <formula>WEEKDAY($R4)=7</formula>
    </cfRule>
    <cfRule type="expression" dxfId="15" priority="1">
      <formula>$S4&lt;&gt;""</formula>
    </cfRule>
  </conditionalFormatting>
  <pageMargins left="0.7" right="0.7" top="0.75" bottom="0.75" header="0.3" footer="0.3"/>
  <pageSetup paperSize="9" scale="50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3</vt:i4>
      </vt:variant>
    </vt:vector>
  </HeadingPairs>
  <TitlesOfParts>
    <vt:vector size="4" baseType="lpstr">
      <vt:lpstr>予定表</vt:lpstr>
      <vt:lpstr>予定表!Print_Area</vt:lpstr>
      <vt:lpstr>祝日表</vt:lpstr>
      <vt:lpstr>日付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賢 相澤</cp:lastModifiedBy>
  <cp:lastPrinted>2016-09-14T14:29:12Z</cp:lastPrinted>
  <dcterms:created xsi:type="dcterms:W3CDTF">2016-07-11T05:17:37Z</dcterms:created>
  <dcterms:modified xsi:type="dcterms:W3CDTF">2025-05-09T09:12:27Z</dcterms:modified>
</cp:coreProperties>
</file>