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epkotsoftware\training\users\ken.aizawa\02_basic\excel\"/>
    </mc:Choice>
  </mc:AlternateContent>
  <xr:revisionPtr revIDLastSave="0" documentId="13_ncr:1_{351E59A0-F9ED-4709-8119-9204076F08EF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売上管理票" sheetId="1" r:id="rId1"/>
    <sheet name="成績表" sheetId="2" r:id="rId2"/>
    <sheet name="請求書" sheetId="4" r:id="rId3"/>
  </sheets>
  <calcPr calcId="191029" concurrentCalc="0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6" i="2" l="1"/>
  <c r="H7" i="2"/>
  <c r="H8" i="2"/>
  <c r="H4" i="2"/>
  <c r="H5" i="2"/>
  <c r="E29" i="1"/>
  <c r="F29" i="1"/>
  <c r="G29" i="1"/>
  <c r="H29" i="1"/>
  <c r="I29" i="1"/>
  <c r="J29" i="1"/>
  <c r="K29" i="1"/>
  <c r="L29" i="1"/>
  <c r="M29" i="1"/>
  <c r="N29" i="1"/>
  <c r="O29" i="1"/>
  <c r="P29" i="1"/>
  <c r="E28" i="1"/>
  <c r="F28" i="1"/>
  <c r="G28" i="1"/>
  <c r="H28" i="1"/>
  <c r="I28" i="1"/>
  <c r="J28" i="1"/>
  <c r="K28" i="1"/>
  <c r="L28" i="1"/>
  <c r="M28" i="1"/>
  <c r="N28" i="1"/>
  <c r="O28" i="1"/>
  <c r="P28" i="1"/>
  <c r="M18" i="1"/>
  <c r="N18" i="1"/>
  <c r="O18" i="1"/>
  <c r="M17" i="1"/>
  <c r="N17" i="1"/>
  <c r="O17" i="1"/>
  <c r="M16" i="1"/>
  <c r="N16" i="1"/>
  <c r="O16" i="1"/>
  <c r="E27" i="1"/>
  <c r="F27" i="1"/>
  <c r="G27" i="1"/>
  <c r="H27" i="1"/>
  <c r="I27" i="1"/>
  <c r="J27" i="1"/>
  <c r="K27" i="1"/>
  <c r="L27" i="1"/>
  <c r="M27" i="1"/>
  <c r="N27" i="1"/>
  <c r="O27" i="1"/>
  <c r="P17" i="1"/>
  <c r="P27" i="1"/>
  <c r="D29" i="1"/>
  <c r="D28" i="1"/>
  <c r="D27" i="1"/>
  <c r="E21" i="1"/>
  <c r="F21" i="1"/>
  <c r="G21" i="1"/>
  <c r="H21" i="1"/>
  <c r="I21" i="1"/>
  <c r="J21" i="1"/>
  <c r="K21" i="1"/>
  <c r="L21" i="1"/>
  <c r="M21" i="1"/>
  <c r="N21" i="1"/>
  <c r="O21" i="1"/>
  <c r="P16" i="1"/>
  <c r="P21" i="1"/>
  <c r="D21" i="1"/>
  <c r="E14" i="1"/>
  <c r="F14" i="1"/>
  <c r="G14" i="1"/>
  <c r="H14" i="1"/>
  <c r="I14" i="1"/>
  <c r="J14" i="1"/>
  <c r="K14" i="1"/>
  <c r="L14" i="1"/>
  <c r="M14" i="1"/>
  <c r="N14" i="1"/>
  <c r="O14" i="1"/>
  <c r="P14" i="1"/>
  <c r="D14" i="1"/>
  <c r="F8" i="1"/>
  <c r="G8" i="1"/>
  <c r="H8" i="1"/>
  <c r="I8" i="1"/>
  <c r="J8" i="1"/>
  <c r="K8" i="1"/>
  <c r="L8" i="1"/>
  <c r="M8" i="1"/>
  <c r="N8" i="1"/>
  <c r="O8" i="1"/>
  <c r="P8" i="1"/>
  <c r="D8" i="1"/>
  <c r="E8" i="1"/>
  <c r="P18" i="1"/>
  <c r="C23" i="1"/>
  <c r="E20" i="1"/>
  <c r="F20" i="1"/>
  <c r="G20" i="1"/>
  <c r="H20" i="1"/>
  <c r="I20" i="1"/>
  <c r="J20" i="1"/>
  <c r="K20" i="1"/>
  <c r="L20" i="1"/>
  <c r="M19" i="1"/>
  <c r="M20" i="1"/>
  <c r="N19" i="1"/>
  <c r="N20" i="1"/>
  <c r="O20" i="1"/>
  <c r="P19" i="1"/>
  <c r="P20" i="1"/>
  <c r="D20" i="1"/>
  <c r="E19" i="1"/>
  <c r="F19" i="1"/>
  <c r="G19" i="1"/>
  <c r="H19" i="1"/>
  <c r="I19" i="1"/>
  <c r="J19" i="1"/>
  <c r="K19" i="1"/>
  <c r="L19" i="1"/>
  <c r="O19" i="1"/>
  <c r="D19" i="1"/>
  <c r="P10" i="1"/>
  <c r="P11" i="1"/>
  <c r="P12" i="1"/>
  <c r="P4" i="1"/>
  <c r="P5" i="1"/>
  <c r="P6" i="1"/>
  <c r="P9" i="1"/>
  <c r="P3" i="1"/>
  <c r="I8" i="2"/>
  <c r="I7" i="2"/>
  <c r="I6" i="2"/>
  <c r="I5" i="2"/>
  <c r="I4" i="2"/>
  <c r="G5" i="2"/>
  <c r="G6" i="2"/>
  <c r="G7" i="2"/>
  <c r="G8" i="2"/>
  <c r="G4" i="2"/>
  <c r="F8" i="2"/>
  <c r="F5" i="2"/>
  <c r="F6" i="2"/>
  <c r="F7" i="2"/>
  <c r="F4" i="2"/>
  <c r="E13" i="1"/>
  <c r="F13" i="1"/>
  <c r="G13" i="1"/>
  <c r="H13" i="1"/>
  <c r="I13" i="1"/>
  <c r="J13" i="1"/>
  <c r="K13" i="1"/>
  <c r="L13" i="1"/>
  <c r="M13" i="1"/>
  <c r="N13" i="1"/>
  <c r="O12" i="1"/>
  <c r="O13" i="1"/>
  <c r="P13" i="1"/>
  <c r="E12" i="1"/>
  <c r="F12" i="1"/>
  <c r="G12" i="1"/>
  <c r="H12" i="1"/>
  <c r="I12" i="1"/>
  <c r="J12" i="1"/>
  <c r="K12" i="1"/>
  <c r="L12" i="1"/>
  <c r="M12" i="1"/>
  <c r="N12" i="1"/>
  <c r="D13" i="1"/>
  <c r="D12" i="1"/>
  <c r="D6" i="1"/>
  <c r="E7" i="1"/>
  <c r="F7" i="1"/>
  <c r="G7" i="1"/>
  <c r="H7" i="1"/>
  <c r="I7" i="1"/>
  <c r="J7" i="1"/>
  <c r="K7" i="1"/>
  <c r="L7" i="1"/>
  <c r="M7" i="1"/>
  <c r="N7" i="1"/>
  <c r="O7" i="1"/>
  <c r="P7" i="1"/>
  <c r="E6" i="1"/>
  <c r="F6" i="1"/>
  <c r="G6" i="1"/>
  <c r="H6" i="1"/>
  <c r="I6" i="1"/>
  <c r="J6" i="1"/>
  <c r="K6" i="1"/>
  <c r="L6" i="1"/>
  <c r="M6" i="1"/>
  <c r="N6" i="1"/>
  <c r="O6" i="1"/>
  <c r="D7" i="1"/>
  <c r="E16" i="1"/>
  <c r="F16" i="1"/>
  <c r="G16" i="1"/>
  <c r="H16" i="1"/>
  <c r="I16" i="1"/>
  <c r="J16" i="1"/>
  <c r="K16" i="1"/>
  <c r="L16" i="1"/>
  <c r="E17" i="1"/>
  <c r="F17" i="1"/>
  <c r="G17" i="1"/>
  <c r="H17" i="1"/>
  <c r="I17" i="1"/>
  <c r="J17" i="1"/>
  <c r="K17" i="1"/>
  <c r="L17" i="1"/>
  <c r="E18" i="1"/>
  <c r="F18" i="1"/>
  <c r="G18" i="1"/>
  <c r="H18" i="1"/>
  <c r="I18" i="1"/>
  <c r="J18" i="1"/>
  <c r="K18" i="1"/>
  <c r="L18" i="1"/>
  <c r="D17" i="1"/>
  <c r="D18" i="1"/>
  <c r="D16" i="1"/>
  <c r="H15" i="4"/>
  <c r="H16" i="4"/>
  <c r="H17" i="4"/>
  <c r="H33" i="4"/>
  <c r="H35" i="4"/>
  <c r="H36" i="4"/>
  <c r="C11" i="4"/>
  <c r="C24" i="1"/>
</calcChain>
</file>

<file path=xl/sharedStrings.xml><?xml version="1.0" encoding="utf-8"?>
<sst xmlns="http://schemas.openxmlformats.org/spreadsheetml/2006/main" count="87" uniqueCount="74">
  <si>
    <t>株式会社アップル</t>
    <rPh sb="0" eb="4">
      <t>カブシキガイシャ</t>
    </rPh>
    <phoneticPr fontId="3"/>
  </si>
  <si>
    <t>利益率</t>
    <rPh sb="0" eb="3">
      <t>リエキリツ</t>
    </rPh>
    <phoneticPr fontId="3"/>
  </si>
  <si>
    <t>目標売上</t>
    <rPh sb="0" eb="2">
      <t>ウリアゲモクヒョウ</t>
    </rPh>
    <rPh sb="2" eb="4">
      <t>ウリアゲ</t>
    </rPh>
    <phoneticPr fontId="3"/>
  </si>
  <si>
    <t>売上高</t>
    <rPh sb="0" eb="3">
      <t>ウリアゲダカ</t>
    </rPh>
    <phoneticPr fontId="3"/>
  </si>
  <si>
    <t>粗利益</t>
    <rPh sb="0" eb="1">
      <t>アラ</t>
    </rPh>
    <rPh sb="1" eb="3">
      <t>ウリアゲリエキ</t>
    </rPh>
    <phoneticPr fontId="3"/>
  </si>
  <si>
    <t>4月</t>
    <rPh sb="1" eb="2">
      <t>ガツ</t>
    </rPh>
    <phoneticPr fontId="3"/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</si>
  <si>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</si>
  <si>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</si>
  <si>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</si>
  <si>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</si>
  <si>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</si>
  <si>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</si>
  <si>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</si>
  <si>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</si>
  <si>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</si>
  <si>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</si>
  <si>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</si>
  <si>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ウィンドウズ株式会社</t>
    <rPh sb="6" eb="10">
      <t>カブシキガイシャ</t>
    </rPh>
    <phoneticPr fontId="3"/>
  </si>
  <si>
    <t>合計</t>
    <rPh sb="0" eb="2">
      <t>ゴウケイ</t>
    </rPh>
    <phoneticPr fontId="3"/>
  </si>
  <si>
    <t>目標達成率</t>
    <rPh sb="0" eb="5">
      <t>モクヒョウタッセイリツ</t>
    </rPh>
    <phoneticPr fontId="3"/>
  </si>
  <si>
    <t>全体</t>
    <rPh sb="0" eb="2">
      <t>ゼンタイ</t>
    </rPh>
    <phoneticPr fontId="3"/>
  </si>
  <si>
    <t>都月 隆</t>
    <rPh sb="0" eb="2">
      <t>ツヅキ</t>
    </rPh>
    <rPh sb="3" eb="4">
      <t>タカシ</t>
    </rPh>
    <phoneticPr fontId="3"/>
  </si>
  <si>
    <t>炭 達也</t>
    <rPh sb="0" eb="1">
      <t>スミ</t>
    </rPh>
    <rPh sb="2" eb="4">
      <t>タツヤ</t>
    </rPh>
    <phoneticPr fontId="3"/>
  </si>
  <si>
    <t>谷沢 博樹</t>
    <rPh sb="0" eb="2">
      <t>ヤサワ</t>
    </rPh>
    <rPh sb="3" eb="5">
      <t>ヒロキ</t>
    </rPh>
    <phoneticPr fontId="3"/>
  </si>
  <si>
    <t>田島 昌史</t>
    <rPh sb="0" eb="2">
      <t>タジマ</t>
    </rPh>
    <rPh sb="3" eb="5">
      <t>マサフミ</t>
    </rPh>
    <phoneticPr fontId="3"/>
  </si>
  <si>
    <t>大葉 勇人</t>
    <rPh sb="0" eb="2">
      <t>オオバ</t>
    </rPh>
    <rPh sb="3" eb="5">
      <t>ハヤト</t>
    </rPh>
    <phoneticPr fontId="3"/>
  </si>
  <si>
    <t>英語</t>
    <rPh sb="0" eb="2">
      <t>エイゴ</t>
    </rPh>
    <phoneticPr fontId="3"/>
  </si>
  <si>
    <t>数学</t>
    <rPh sb="0" eb="2">
      <t>スウガク</t>
    </rPh>
    <phoneticPr fontId="3"/>
  </si>
  <si>
    <t>国語</t>
    <rPh sb="0" eb="2">
      <t>コクゴ</t>
    </rPh>
    <phoneticPr fontId="3"/>
  </si>
  <si>
    <t>科目</t>
    <rPh sb="0" eb="2">
      <t>カモク</t>
    </rPh>
    <phoneticPr fontId="3"/>
  </si>
  <si>
    <t>判定</t>
    <rPh sb="0" eb="2">
      <t>ゴウヒハンテイ</t>
    </rPh>
    <phoneticPr fontId="3"/>
  </si>
  <si>
    <t>英語が50点以下なら
「Oh No...」</t>
    <rPh sb="0" eb="2">
      <t>エイゴ</t>
    </rPh>
    <rPh sb="5" eb="6">
      <t>テン</t>
    </rPh>
    <rPh sb="6" eb="8">
      <t>イカ</t>
    </rPh>
    <phoneticPr fontId="3"/>
  </si>
  <si>
    <t>合格点</t>
    <rPh sb="0" eb="3">
      <t>ゴウカクテン</t>
    </rPh>
    <phoneticPr fontId="3"/>
  </si>
  <si>
    <t>仕入れ</t>
    <rPh sb="0" eb="2">
      <t>シイ</t>
    </rPh>
    <phoneticPr fontId="3"/>
  </si>
  <si>
    <t>サマリー</t>
    <phoneticPr fontId="3"/>
  </si>
  <si>
    <t>Invoice</t>
  </si>
  <si>
    <t>御　請　求　書</t>
  </si>
  <si>
    <t>下記のとおりにご請求申し上げます。</t>
  </si>
  <si>
    <t>御中</t>
    <rPh sb="0" eb="2">
      <t>オンチュウ</t>
    </rPh>
    <phoneticPr fontId="19"/>
  </si>
  <si>
    <t xml:space="preserve">NO. </t>
  </si>
  <si>
    <t>ORDER TOTAL</t>
  </si>
  <si>
    <t>※このご請求金額には消費税</t>
  </si>
  <si>
    <t>が含まれます。</t>
  </si>
  <si>
    <t>明細項目</t>
  </si>
  <si>
    <t>規格･仕様</t>
  </si>
  <si>
    <t>単価</t>
  </si>
  <si>
    <t>数量</t>
  </si>
  <si>
    <t>単位</t>
  </si>
  <si>
    <t>金額</t>
  </si>
  <si>
    <t>備考</t>
  </si>
  <si>
    <t>合　　計</t>
  </si>
  <si>
    <t>(税抜)</t>
    <phoneticPr fontId="3"/>
  </si>
  <si>
    <t>株式会社アップル</t>
    <phoneticPr fontId="3"/>
  </si>
  <si>
    <t>東京都目黒区大橋1-2-5 KSビル4F SI事業部</t>
    <phoneticPr fontId="3"/>
  </si>
  <si>
    <t>TEL. 0120-9999-9999</t>
    <phoneticPr fontId="3"/>
  </si>
  <si>
    <t>ディレクション費</t>
    <rPh sb="7" eb="8">
      <t>ヒ</t>
    </rPh>
    <phoneticPr fontId="3"/>
  </si>
  <si>
    <t>デザイン費</t>
    <rPh sb="4" eb="5">
      <t>ヒ</t>
    </rPh>
    <phoneticPr fontId="3"/>
  </si>
  <si>
    <t>式</t>
    <rPh sb="0" eb="1">
      <t>シキ</t>
    </rPh>
    <phoneticPr fontId="3"/>
  </si>
  <si>
    <t>P</t>
    <phoneticPr fontId="3"/>
  </si>
  <si>
    <t>諸経費</t>
    <rPh sb="0" eb="3">
      <t>ショケイヒ</t>
    </rPh>
    <phoneticPr fontId="3"/>
  </si>
  <si>
    <t>実費</t>
    <rPh sb="0" eb="2">
      <t>ジッピ</t>
    </rPh>
    <phoneticPr fontId="3"/>
  </si>
  <si>
    <t>システム開発費費</t>
    <rPh sb="4" eb="7">
      <t>カイハツヒ</t>
    </rPh>
    <rPh sb="7" eb="8">
      <t>セイサクヒ</t>
    </rPh>
    <phoneticPr fontId="3"/>
  </si>
  <si>
    <t/>
  </si>
  <si>
    <t>←◯◯点以上が2科目以上あれば
「よく出来ました!」</t>
    <phoneticPr fontId="3"/>
  </si>
  <si>
    <t>3教科で1つでも50点以下
があると「不合格」</t>
    <rPh sb="1" eb="3">
      <t>キョウカ</t>
    </rPh>
    <rPh sb="10" eb="13">
      <t>テンイカ</t>
    </rPh>
    <rPh sb="19" eb="22">
      <t>フゴウカク</t>
    </rPh>
    <phoneticPr fontId="3"/>
  </si>
  <si>
    <t>←8%の消費税金額</t>
    <rPh sb="4" eb="6">
      <t>ショウヒザイ</t>
    </rPh>
    <rPh sb="6" eb="7">
      <t>ゼイ</t>
    </rPh>
    <rPh sb="7" eb="9">
      <t>キンガク</t>
    </rPh>
    <phoneticPr fontId="3"/>
  </si>
  <si>
    <t>来年の目標値作成</t>
    <rPh sb="0" eb="2">
      <t>ライネン</t>
    </rPh>
    <rPh sb="3" eb="8">
      <t>モクヒョウチサクセイ</t>
    </rPh>
    <phoneticPr fontId="3"/>
  </si>
  <si>
    <t>目標売上A（切り捨て）</t>
    <rPh sb="0" eb="4">
      <t>モクヒョウウリアゲ</t>
    </rPh>
    <rPh sb="6" eb="7">
      <t>キ</t>
    </rPh>
    <rPh sb="8" eb="9">
      <t>ス</t>
    </rPh>
    <phoneticPr fontId="3"/>
  </si>
  <si>
    <t>目標売上B（切り上げ）</t>
    <rPh sb="0" eb="4">
      <t>モクヒョウウリアゲ</t>
    </rPh>
    <rPh sb="6" eb="7">
      <t>キ</t>
    </rPh>
    <rPh sb="8" eb="9">
      <t>ア</t>
    </rPh>
    <phoneticPr fontId="3"/>
  </si>
  <si>
    <t>目標売上C（10%UP+切り上げ）</t>
    <rPh sb="0" eb="4">
      <t>モクヒョウウリアゲ</t>
    </rPh>
    <rPh sb="12" eb="13">
      <t>キ</t>
    </rPh>
    <rPh sb="14" eb="15">
      <t>ア</t>
    </rPh>
    <phoneticPr fontId="3"/>
  </si>
  <si>
    <t>←別の関数で</t>
    <rPh sb="1" eb="2">
      <t>ベツ</t>
    </rPh>
    <rPh sb="3" eb="5">
      <t>カンスウ</t>
    </rPh>
    <phoneticPr fontId="3"/>
  </si>
  <si>
    <t>20170101-001</t>
    <phoneticPr fontId="3"/>
  </si>
  <si>
    <t>←普通の計算だと。。。</t>
    <rPh sb="1" eb="3">
      <t>フツウ</t>
    </rPh>
    <rPh sb="4" eb="6">
      <t>ケイサン</t>
    </rPh>
    <phoneticPr fontId="3"/>
  </si>
  <si>
    <t>60点以上が2科目以上あれば「よく出来ました！」</t>
    <rPh sb="2" eb="3">
      <t>テン</t>
    </rPh>
    <rPh sb="3" eb="5">
      <t>イジョウ</t>
    </rPh>
    <rPh sb="7" eb="9">
      <t>カモク</t>
    </rPh>
    <rPh sb="9" eb="11">
      <t>イジョウ</t>
    </rPh>
    <rPh sb="17" eb="19">
      <t>デキ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</si>
</sst>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6" formatCode="&quot;¥&quot;#,##0;[Red]&quot;¥&quot;\-#,##0"/>
    <numFmt numFmtId="176" formatCode="0.0%"/>
    <numFmt numFmtId="177" formatCode="#,##0&quot;点&quot;"/>
    <numFmt numFmtId="178" formatCode="0;[Red]0"/>
    <numFmt numFmtId="179" formatCode="0&quot;年&quot;"/>
    <numFmt numFmtId="180" formatCode="0&quot;月&quot;"/>
    <numFmt numFmtId="181" formatCode="0&quot;日&quot;"/>
    <numFmt numFmtId="182" formatCode="0_ "/>
    <numFmt numFmtId="183" formatCode="#,##0;&quot;△ &quot;#,##0"/>
    <numFmt numFmtId="184" formatCode="#,##0.00;&quot;△ &quot;#,##0.00"/>
    <numFmt numFmtId="185" formatCode="0_);[Red]\(0\)"/>
  </numFmts>
  <fonts count="30">
    <font>
      <sz val="12"/>
      <color theme="1"/>
      <name val="ＭＳ Ｐゴシック"/>
      <family val="2"/>
      <charset val="128"/>
      <scheme val="minor"/>
    </font>
    <font>
      <sz val="12"/>
      <color theme="1"/>
      <name val="ＭＳ Ｐゴシック"/>
      <family val="2"/>
      <charset val="128"/>
      <scheme val="minor"/>
    </font>
    <font>
      <sz val="12"/>
      <color rgb="FFFF0000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sz val="10"/>
      <name val="Osaka"/>
      <charset val="128"/>
    </font>
    <font>
      <u/>
      <sz val="12"/>
      <color theme="10"/>
      <name val="ＭＳ Ｐゴシック"/>
      <family val="2"/>
      <charset val="128"/>
      <scheme val="minor"/>
    </font>
    <font>
      <u/>
      <sz val="12"/>
      <color theme="11"/>
      <name val="ＭＳ Ｐゴシック"/>
      <family val="2"/>
      <charset val="128"/>
      <scheme val="minor"/>
    </font>
    <font>
      <sz val="12"/>
      <name val="ＭＳ Ｐゴシック"/>
      <family val="2"/>
      <charset val="128"/>
      <scheme val="minor"/>
    </font>
    <font>
      <sz val="10"/>
      <color theme="9" tint="-0.249977111117893"/>
      <name val="Osaka"/>
      <charset val="128"/>
    </font>
    <font>
      <sz val="18"/>
      <name val="ＭＳ Ｐゴシック"/>
      <family val="3"/>
      <charset val="128"/>
      <scheme val="minor"/>
    </font>
    <font>
      <sz val="20"/>
      <color theme="1"/>
      <name val="ＭＳ Ｐゴシック"/>
      <family val="3"/>
      <charset val="128"/>
      <scheme val="minor"/>
    </font>
    <font>
      <sz val="11"/>
      <color rgb="FF000000"/>
      <name val="MS PGothic"/>
      <family val="3"/>
      <charset val="128"/>
    </font>
    <font>
      <sz val="11"/>
      <name val="Osaka"/>
      <family val="3"/>
      <charset val="128"/>
    </font>
    <font>
      <sz val="11"/>
      <name val="MS PGothic"/>
      <family val="3"/>
      <charset val="128"/>
    </font>
    <font>
      <sz val="28"/>
      <name val="ＭＳ 明朝"/>
      <family val="1"/>
      <charset val="128"/>
    </font>
    <font>
      <sz val="12"/>
      <name val="A-otf リュウミン pro m-kl"/>
      <family val="3"/>
      <charset val="128"/>
    </font>
    <font>
      <sz val="20"/>
      <name val="Osaka"/>
      <family val="3"/>
      <charset val="128"/>
    </font>
    <font>
      <b/>
      <sz val="18"/>
      <name val="Osaka"/>
      <family val="3"/>
      <charset val="128"/>
    </font>
    <font>
      <sz val="6"/>
      <name val="MS PGothic"/>
      <family val="3"/>
      <charset val="128"/>
    </font>
    <font>
      <sz val="13"/>
      <name val="Osaka"/>
      <family val="3"/>
      <charset val="128"/>
    </font>
    <font>
      <sz val="22"/>
      <name val="Osaka"/>
      <family val="3"/>
      <charset val="128"/>
    </font>
    <font>
      <sz val="9"/>
      <name val="Osaka"/>
      <family val="3"/>
      <charset val="128"/>
    </font>
    <font>
      <sz val="12"/>
      <name val="Osaka"/>
      <family val="3"/>
      <charset val="128"/>
    </font>
    <font>
      <sz val="10"/>
      <color rgb="FFFF0000"/>
      <name val="Osaka"/>
      <family val="3"/>
      <charset val="128"/>
    </font>
    <font>
      <sz val="12"/>
      <color rgb="FFFF0000"/>
      <name val="Osaka"/>
      <family val="3"/>
      <charset val="128"/>
    </font>
    <font>
      <sz val="11"/>
      <color rgb="FFFF0000"/>
      <name val="Osaka"/>
      <family val="3"/>
      <charset val="128"/>
    </font>
    <font>
      <b/>
      <sz val="14"/>
      <name val="Osaka"/>
      <family val="3"/>
      <charset val="128"/>
    </font>
    <font>
      <sz val="15"/>
      <name val="ＭＳ Ｐゴシック"/>
      <family val="3"/>
      <charset val="128"/>
      <scheme val="minor"/>
    </font>
    <font>
      <sz val="15"/>
      <color theme="1"/>
      <name val="ＭＳ Ｐ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uble">
        <color auto="1"/>
      </bottom>
      <diagonal/>
    </border>
    <border>
      <left/>
      <right style="thin">
        <color rgb="FF000000"/>
      </right>
      <top style="dotted">
        <color rgb="FF000000"/>
      </top>
      <bottom style="double">
        <color auto="1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uble">
        <color auto="1"/>
      </bottom>
      <diagonal/>
    </border>
    <border>
      <left/>
      <right/>
      <top style="dotted">
        <color rgb="FF000000"/>
      </top>
      <bottom style="double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5">
    <xf numFmtId="0" fontId="0" fillId="0" borderId="0"/>
    <xf numFmtId="0" fontId="4" fillId="0" borderId="0">
      <alignment vertical="center"/>
    </xf>
    <xf numFmtId="38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38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125">
    <xf numFmtId="0" fontId="0" fillId="0" borderId="0" xfId="0"/>
    <xf numFmtId="38" fontId="5" fillId="0" borderId="1" xfId="2" applyFont="1" applyBorder="1" applyAlignment="1" applyProtection="1">
      <alignment vertical="center"/>
      <protection locked="0"/>
    </xf>
    <xf numFmtId="0" fontId="5" fillId="0" borderId="1" xfId="1" applyFont="1" applyBorder="1" applyAlignment="1">
      <alignment horizontal="right" vertical="center"/>
    </xf>
    <xf numFmtId="38" fontId="5" fillId="0" borderId="1" xfId="2" applyFont="1" applyFill="1" applyBorder="1" applyAlignment="1">
      <alignment horizontal="right" vertical="center"/>
    </xf>
    <xf numFmtId="38" fontId="5" fillId="0" borderId="1" xfId="1" applyNumberFormat="1" applyFont="1" applyBorder="1" applyAlignment="1">
      <alignment horizontal="right" vertical="center"/>
    </xf>
    <xf numFmtId="38" fontId="0" fillId="0" borderId="1" xfId="0" applyNumberFormat="1" applyBorder="1"/>
    <xf numFmtId="38" fontId="8" fillId="0" borderId="1" xfId="0" applyNumberFormat="1" applyFont="1" applyBorder="1"/>
    <xf numFmtId="0" fontId="0" fillId="0" borderId="1" xfId="0" applyBorder="1"/>
    <xf numFmtId="38" fontId="5" fillId="2" borderId="1" xfId="2" applyFont="1" applyFill="1" applyBorder="1" applyAlignment="1" applyProtection="1">
      <alignment vertical="center"/>
      <protection locked="0"/>
    </xf>
    <xf numFmtId="176" fontId="9" fillId="0" borderId="1" xfId="3" applyNumberFormat="1" applyFont="1" applyFill="1" applyBorder="1" applyAlignment="1">
      <alignment horizontal="right" vertical="center"/>
    </xf>
    <xf numFmtId="0" fontId="5" fillId="2" borderId="1" xfId="1" applyFont="1" applyFill="1" applyBorder="1" applyAlignment="1">
      <alignment horizontal="right" vertical="center"/>
    </xf>
    <xf numFmtId="0" fontId="9" fillId="0" borderId="1" xfId="1" applyFont="1" applyBorder="1" applyAlignment="1">
      <alignment horizontal="right" vertical="center"/>
    </xf>
    <xf numFmtId="0" fontId="0" fillId="0" borderId="0" xfId="0" applyAlignment="1">
      <alignment horizontal="center"/>
    </xf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 wrapText="1"/>
    </xf>
    <xf numFmtId="0" fontId="10" fillId="0" borderId="1" xfId="0" applyFont="1" applyBorder="1" applyAlignment="1">
      <alignment vertical="center"/>
    </xf>
    <xf numFmtId="0" fontId="0" fillId="0" borderId="0" xfId="0" applyAlignment="1">
      <alignment horizontal="left" vertical="center"/>
    </xf>
    <xf numFmtId="177" fontId="11" fillId="0" borderId="5" xfId="0" applyNumberFormat="1" applyFont="1" applyBorder="1" applyAlignment="1">
      <alignment horizontal="center" vertical="center"/>
    </xf>
    <xf numFmtId="0" fontId="17" fillId="3" borderId="0" xfId="1" applyFont="1" applyFill="1" applyAlignment="1">
      <alignment horizontal="center" vertical="center"/>
    </xf>
    <xf numFmtId="0" fontId="13" fillId="3" borderId="0" xfId="1" applyFont="1" applyFill="1">
      <alignment vertical="center"/>
    </xf>
    <xf numFmtId="0" fontId="18" fillId="3" borderId="6" xfId="1" applyFont="1" applyFill="1" applyBorder="1">
      <alignment vertical="center"/>
    </xf>
    <xf numFmtId="0" fontId="13" fillId="0" borderId="7" xfId="1" applyFont="1" applyBorder="1" applyAlignment="1">
      <alignment horizontal="right" vertical="center"/>
    </xf>
    <xf numFmtId="0" fontId="13" fillId="0" borderId="0" xfId="1" applyFont="1">
      <alignment vertical="center"/>
    </xf>
    <xf numFmtId="0" fontId="14" fillId="0" borderId="0" xfId="1" applyFont="1" applyAlignment="1"/>
    <xf numFmtId="179" fontId="13" fillId="3" borderId="6" xfId="1" applyNumberFormat="1" applyFont="1" applyFill="1" applyBorder="1" applyAlignment="1">
      <alignment horizontal="right"/>
    </xf>
    <xf numFmtId="180" fontId="13" fillId="3" borderId="6" xfId="1" applyNumberFormat="1" applyFont="1" applyFill="1" applyBorder="1" applyAlignment="1">
      <alignment horizontal="right"/>
    </xf>
    <xf numFmtId="181" fontId="13" fillId="3" borderId="6" xfId="1" applyNumberFormat="1" applyFont="1" applyFill="1" applyBorder="1" applyAlignment="1">
      <alignment horizontal="right"/>
    </xf>
    <xf numFmtId="0" fontId="12" fillId="0" borderId="0" xfId="1" applyFont="1" applyAlignment="1"/>
    <xf numFmtId="0" fontId="13" fillId="3" borderId="0" xfId="1" applyFont="1" applyFill="1" applyAlignment="1">
      <alignment horizontal="right" vertical="center"/>
    </xf>
    <xf numFmtId="0" fontId="20" fillId="3" borderId="11" xfId="1" applyFont="1" applyFill="1" applyBorder="1" applyAlignment="1">
      <alignment shrinkToFit="1"/>
    </xf>
    <xf numFmtId="6" fontId="21" fillId="3" borderId="11" xfId="1" applyNumberFormat="1" applyFont="1" applyFill="1" applyBorder="1" applyAlignment="1"/>
    <xf numFmtId="182" fontId="22" fillId="3" borderId="11" xfId="1" applyNumberFormat="1" applyFont="1" applyFill="1" applyBorder="1" applyAlignment="1"/>
    <xf numFmtId="182" fontId="22" fillId="3" borderId="11" xfId="1" applyNumberFormat="1" applyFont="1" applyFill="1" applyBorder="1" applyAlignment="1">
      <alignment horizontal="right"/>
    </xf>
    <xf numFmtId="0" fontId="22" fillId="3" borderId="11" xfId="1" applyFont="1" applyFill="1" applyBorder="1" applyAlignment="1"/>
    <xf numFmtId="0" fontId="22" fillId="3" borderId="0" xfId="1" applyFont="1" applyFill="1" applyAlignment="1">
      <alignment horizontal="left" vertical="top"/>
    </xf>
    <xf numFmtId="0" fontId="23" fillId="3" borderId="12" xfId="1" applyFont="1" applyFill="1" applyBorder="1" applyAlignment="1">
      <alignment horizontal="center" vertical="center"/>
    </xf>
    <xf numFmtId="0" fontId="23" fillId="3" borderId="13" xfId="1" applyFont="1" applyFill="1" applyBorder="1" applyAlignment="1">
      <alignment horizontal="center" vertical="center"/>
    </xf>
    <xf numFmtId="0" fontId="23" fillId="3" borderId="7" xfId="1" applyFont="1" applyFill="1" applyBorder="1" applyAlignment="1">
      <alignment horizontal="center" vertical="center"/>
    </xf>
    <xf numFmtId="0" fontId="23" fillId="3" borderId="8" xfId="1" applyFont="1" applyFill="1" applyBorder="1" applyAlignment="1">
      <alignment horizontal="center" vertical="center"/>
    </xf>
    <xf numFmtId="0" fontId="23" fillId="3" borderId="9" xfId="1" applyFont="1" applyFill="1" applyBorder="1" applyAlignment="1">
      <alignment horizontal="center" vertical="center"/>
    </xf>
    <xf numFmtId="49" fontId="5" fillId="3" borderId="16" xfId="1" applyNumberFormat="1" applyFont="1" applyFill="1" applyBorder="1" applyAlignment="1">
      <alignment horizontal="center" shrinkToFit="1"/>
    </xf>
    <xf numFmtId="38" fontId="23" fillId="3" borderId="17" xfId="1" applyNumberFormat="1" applyFont="1" applyFill="1" applyBorder="1" applyAlignment="1">
      <alignment horizontal="right" vertical="center" shrinkToFit="1"/>
    </xf>
    <xf numFmtId="38" fontId="23" fillId="3" borderId="17" xfId="1" applyNumberFormat="1" applyFont="1" applyFill="1" applyBorder="1" applyAlignment="1">
      <alignment horizontal="center" vertical="center" shrinkToFit="1"/>
    </xf>
    <xf numFmtId="38" fontId="13" fillId="3" borderId="18" xfId="1" applyNumberFormat="1" applyFont="1" applyFill="1" applyBorder="1" applyAlignment="1">
      <alignment horizontal="center" vertical="center" shrinkToFit="1"/>
    </xf>
    <xf numFmtId="49" fontId="5" fillId="3" borderId="16" xfId="1" applyNumberFormat="1" applyFont="1" applyFill="1" applyBorder="1" applyAlignment="1">
      <alignment horizontal="left" shrinkToFit="1"/>
    </xf>
    <xf numFmtId="38" fontId="23" fillId="3" borderId="16" xfId="1" applyNumberFormat="1" applyFont="1" applyFill="1" applyBorder="1" applyAlignment="1">
      <alignment horizontal="right" vertical="center" shrinkToFit="1"/>
    </xf>
    <xf numFmtId="183" fontId="23" fillId="3" borderId="16" xfId="1" applyNumberFormat="1" applyFont="1" applyFill="1" applyBorder="1" applyAlignment="1">
      <alignment horizontal="right" vertical="center" wrapText="1" shrinkToFit="1"/>
    </xf>
    <xf numFmtId="38" fontId="13" fillId="3" borderId="21" xfId="1" applyNumberFormat="1" applyFont="1" applyFill="1" applyBorder="1" applyAlignment="1">
      <alignment horizontal="center" vertical="center" shrinkToFit="1"/>
    </xf>
    <xf numFmtId="38" fontId="23" fillId="3" borderId="22" xfId="1" applyNumberFormat="1" applyFont="1" applyFill="1" applyBorder="1" applyAlignment="1">
      <alignment horizontal="right" vertical="center" shrinkToFit="1"/>
    </xf>
    <xf numFmtId="184" fontId="23" fillId="3" borderId="16" xfId="1" applyNumberFormat="1" applyFont="1" applyFill="1" applyBorder="1" applyAlignment="1">
      <alignment horizontal="right" vertical="center" shrinkToFit="1"/>
    </xf>
    <xf numFmtId="185" fontId="23" fillId="3" borderId="16" xfId="1" applyNumberFormat="1" applyFont="1" applyFill="1" applyBorder="1" applyAlignment="1">
      <alignment horizontal="right" vertical="center" shrinkToFit="1"/>
    </xf>
    <xf numFmtId="40" fontId="23" fillId="3" borderId="16" xfId="1" applyNumberFormat="1" applyFont="1" applyFill="1" applyBorder="1" applyAlignment="1">
      <alignment horizontal="right" vertical="center" shrinkToFit="1"/>
    </xf>
    <xf numFmtId="0" fontId="22" fillId="3" borderId="19" xfId="1" applyFont="1" applyFill="1" applyBorder="1" applyAlignment="1">
      <alignment horizontal="left" vertical="center" shrinkToFit="1"/>
    </xf>
    <xf numFmtId="0" fontId="22" fillId="3" borderId="10" xfId="1" applyFont="1" applyFill="1" applyBorder="1" applyAlignment="1">
      <alignment horizontal="left" vertical="center" shrinkToFit="1"/>
    </xf>
    <xf numFmtId="0" fontId="22" fillId="3" borderId="20" xfId="1" applyFont="1" applyFill="1" applyBorder="1" applyAlignment="1">
      <alignment horizontal="left" vertical="center" shrinkToFit="1"/>
    </xf>
    <xf numFmtId="0" fontId="23" fillId="3" borderId="16" xfId="1" applyFont="1" applyFill="1" applyBorder="1" applyAlignment="1">
      <alignment horizontal="right" vertical="center" shrinkToFit="1"/>
    </xf>
    <xf numFmtId="49" fontId="24" fillId="3" borderId="16" xfId="1" applyNumberFormat="1" applyFont="1" applyFill="1" applyBorder="1" applyAlignment="1">
      <alignment horizontal="left" shrinkToFit="1"/>
    </xf>
    <xf numFmtId="38" fontId="25" fillId="3" borderId="16" xfId="1" applyNumberFormat="1" applyFont="1" applyFill="1" applyBorder="1" applyAlignment="1">
      <alignment horizontal="right" vertical="center" shrinkToFit="1"/>
    </xf>
    <xf numFmtId="40" fontId="25" fillId="3" borderId="16" xfId="1" applyNumberFormat="1" applyFont="1" applyFill="1" applyBorder="1" applyAlignment="1">
      <alignment horizontal="right" vertical="center" shrinkToFit="1"/>
    </xf>
    <xf numFmtId="38" fontId="26" fillId="3" borderId="21" xfId="1" applyNumberFormat="1" applyFont="1" applyFill="1" applyBorder="1" applyAlignment="1">
      <alignment horizontal="center" vertical="center" shrinkToFit="1"/>
    </xf>
    <xf numFmtId="49" fontId="5" fillId="3" borderId="25" xfId="1" applyNumberFormat="1" applyFont="1" applyFill="1" applyBorder="1" applyAlignment="1">
      <alignment shrinkToFit="1"/>
    </xf>
    <xf numFmtId="38" fontId="5" fillId="3" borderId="25" xfId="1" applyNumberFormat="1" applyFont="1" applyFill="1" applyBorder="1" applyAlignment="1">
      <alignment shrinkToFit="1"/>
    </xf>
    <xf numFmtId="38" fontId="23" fillId="3" borderId="25" xfId="1" applyNumberFormat="1" applyFont="1" applyFill="1" applyBorder="1" applyAlignment="1">
      <alignment horizontal="right" vertical="center" shrinkToFit="1"/>
    </xf>
    <xf numFmtId="0" fontId="13" fillId="3" borderId="26" xfId="1" applyFont="1" applyFill="1" applyBorder="1" applyAlignment="1">
      <alignment horizontal="center" vertical="center" shrinkToFit="1"/>
    </xf>
    <xf numFmtId="0" fontId="27" fillId="3" borderId="29" xfId="1" applyFont="1" applyFill="1" applyBorder="1" applyAlignment="1">
      <alignment horizontal="center" vertical="center" shrinkToFit="1"/>
    </xf>
    <xf numFmtId="6" fontId="23" fillId="3" borderId="29" xfId="1" applyNumberFormat="1" applyFont="1" applyFill="1" applyBorder="1" applyAlignment="1">
      <alignment horizontal="right" vertical="center" shrinkToFit="1"/>
    </xf>
    <xf numFmtId="38" fontId="23" fillId="3" borderId="28" xfId="1" applyNumberFormat="1" applyFont="1" applyFill="1" applyBorder="1" applyAlignment="1">
      <alignment horizontal="right" vertical="center" shrinkToFit="1"/>
    </xf>
    <xf numFmtId="0" fontId="13" fillId="3" borderId="6" xfId="1" applyFont="1" applyFill="1" applyBorder="1" applyAlignment="1">
      <alignment horizontal="center" vertical="center" shrinkToFit="1"/>
    </xf>
    <xf numFmtId="38" fontId="13" fillId="3" borderId="27" xfId="1" applyNumberFormat="1" applyFont="1" applyFill="1" applyBorder="1" applyAlignment="1">
      <alignment horizontal="center" vertical="center" shrinkToFit="1"/>
    </xf>
    <xf numFmtId="0" fontId="13" fillId="3" borderId="28" xfId="1" applyFont="1" applyFill="1" applyBorder="1" applyAlignment="1">
      <alignment horizontal="center" vertical="center" shrinkToFit="1"/>
    </xf>
    <xf numFmtId="0" fontId="5" fillId="3" borderId="0" xfId="1" applyFont="1" applyFill="1" applyAlignment="1">
      <alignment horizontal="left" vertical="center"/>
    </xf>
    <xf numFmtId="6" fontId="22" fillId="5" borderId="11" xfId="1" applyNumberFormat="1" applyFont="1" applyFill="1" applyBorder="1" applyAlignment="1">
      <alignment shrinkToFit="1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2" fillId="0" borderId="0" xfId="0" applyFont="1"/>
    <xf numFmtId="38" fontId="5" fillId="2" borderId="1" xfId="2" applyFont="1" applyFill="1" applyBorder="1" applyAlignment="1" applyProtection="1">
      <alignment horizontal="right" vertical="center"/>
      <protection locked="0"/>
    </xf>
    <xf numFmtId="0" fontId="9" fillId="0" borderId="30" xfId="1" applyFont="1" applyBorder="1" applyAlignment="1">
      <alignment horizontal="right" vertical="center"/>
    </xf>
    <xf numFmtId="176" fontId="9" fillId="0" borderId="30" xfId="3" applyNumberFormat="1" applyFont="1" applyFill="1" applyBorder="1" applyAlignment="1">
      <alignment horizontal="right" vertical="center"/>
    </xf>
    <xf numFmtId="0" fontId="0" fillId="0" borderId="0" xfId="0" applyAlignment="1">
      <alignment horizontal="left" vertical="center" wrapText="1"/>
    </xf>
    <xf numFmtId="38" fontId="0" fillId="0" borderId="0" xfId="50" applyFont="1"/>
    <xf numFmtId="38" fontId="0" fillId="0" borderId="0" xfId="0" applyNumberFormat="1"/>
    <xf numFmtId="0" fontId="0" fillId="0" borderId="3" xfId="0" applyBorder="1" applyAlignment="1">
      <alignment horizontal="center"/>
    </xf>
    <xf numFmtId="0" fontId="0" fillId="0" borderId="1" xfId="0" applyBorder="1" applyAlignment="1">
      <alignment shrinkToFit="1"/>
    </xf>
    <xf numFmtId="38" fontId="0" fillId="0" borderId="1" xfId="50" applyFont="1" applyBorder="1"/>
    <xf numFmtId="40" fontId="28" fillId="0" borderId="0" xfId="50" applyNumberFormat="1" applyFont="1"/>
    <xf numFmtId="38" fontId="29" fillId="0" borderId="0" xfId="50" applyFont="1"/>
    <xf numFmtId="0" fontId="0" fillId="0" borderId="1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13" fillId="3" borderId="23" xfId="1" applyFont="1" applyFill="1" applyBorder="1" applyAlignment="1">
      <alignment horizontal="left" shrinkToFit="1"/>
    </xf>
    <xf numFmtId="0" fontId="13" fillId="3" borderId="24" xfId="1" applyFont="1" applyFill="1" applyBorder="1" applyAlignment="1">
      <alignment horizontal="left" shrinkToFit="1"/>
    </xf>
    <xf numFmtId="0" fontId="22" fillId="3" borderId="23" xfId="1" applyFont="1" applyFill="1" applyBorder="1" applyAlignment="1">
      <alignment horizontal="left" vertical="center" shrinkToFit="1"/>
    </xf>
    <xf numFmtId="0" fontId="14" fillId="0" borderId="26" xfId="1" applyFont="1" applyBorder="1" applyAlignment="1">
      <alignment shrinkToFit="1"/>
    </xf>
    <xf numFmtId="0" fontId="14" fillId="0" borderId="24" xfId="1" applyFont="1" applyBorder="1" applyAlignment="1">
      <alignment shrinkToFit="1"/>
    </xf>
    <xf numFmtId="0" fontId="27" fillId="3" borderId="27" xfId="1" applyFont="1" applyFill="1" applyBorder="1" applyAlignment="1">
      <alignment horizontal="center" vertical="center" shrinkToFit="1"/>
    </xf>
    <xf numFmtId="0" fontId="14" fillId="0" borderId="28" xfId="1" applyFont="1" applyBorder="1" applyAlignment="1">
      <alignment shrinkToFit="1"/>
    </xf>
    <xf numFmtId="0" fontId="13" fillId="3" borderId="19" xfId="1" applyFont="1" applyFill="1" applyBorder="1" applyAlignment="1">
      <alignment horizontal="left" shrinkToFit="1"/>
    </xf>
    <xf numFmtId="0" fontId="13" fillId="3" borderId="20" xfId="1" applyFont="1" applyFill="1" applyBorder="1" applyAlignment="1">
      <alignment horizontal="left" shrinkToFit="1"/>
    </xf>
    <xf numFmtId="0" fontId="22" fillId="3" borderId="19" xfId="1" applyFont="1" applyFill="1" applyBorder="1" applyAlignment="1">
      <alignment horizontal="left" vertical="center" shrinkToFit="1"/>
    </xf>
    <xf numFmtId="0" fontId="14" fillId="0" borderId="10" xfId="1" applyFont="1" applyBorder="1" applyAlignment="1">
      <alignment shrinkToFit="1"/>
    </xf>
    <xf numFmtId="0" fontId="14" fillId="0" borderId="20" xfId="1" applyFont="1" applyBorder="1" applyAlignment="1">
      <alignment shrinkToFit="1"/>
    </xf>
    <xf numFmtId="0" fontId="22" fillId="3" borderId="10" xfId="1" applyFont="1" applyFill="1" applyBorder="1" applyAlignment="1">
      <alignment horizontal="left" vertical="center" shrinkToFit="1"/>
    </xf>
    <xf numFmtId="0" fontId="22" fillId="3" borderId="20" xfId="1" applyFont="1" applyFill="1" applyBorder="1" applyAlignment="1">
      <alignment horizontal="left" vertical="center" shrinkToFit="1"/>
    </xf>
    <xf numFmtId="14" fontId="13" fillId="3" borderId="19" xfId="1" applyNumberFormat="1" applyFont="1" applyFill="1" applyBorder="1" applyAlignment="1">
      <alignment horizontal="left" shrinkToFit="1"/>
    </xf>
    <xf numFmtId="0" fontId="5" fillId="3" borderId="0" xfId="1" applyFont="1" applyFill="1" applyAlignment="1">
      <alignment horizontal="left" vertical="center"/>
    </xf>
    <xf numFmtId="0" fontId="23" fillId="3" borderId="7" xfId="1" applyFont="1" applyFill="1" applyBorder="1" applyAlignment="1">
      <alignment horizontal="center" vertical="center"/>
    </xf>
    <xf numFmtId="0" fontId="14" fillId="0" borderId="9" xfId="1" applyFont="1" applyBorder="1" applyAlignment="1"/>
    <xf numFmtId="6" fontId="13" fillId="4" borderId="14" xfId="1" applyNumberFormat="1" applyFont="1" applyFill="1" applyBorder="1" applyAlignment="1">
      <alignment horizontal="left" shrinkToFit="1"/>
    </xf>
    <xf numFmtId="0" fontId="14" fillId="0" borderId="15" xfId="1" applyFont="1" applyBorder="1" applyAlignment="1">
      <alignment shrinkToFit="1"/>
    </xf>
    <xf numFmtId="0" fontId="22" fillId="3" borderId="14" xfId="1" applyFont="1" applyFill="1" applyBorder="1" applyAlignment="1">
      <alignment horizontal="left" vertical="center" shrinkToFit="1"/>
    </xf>
    <xf numFmtId="0" fontId="14" fillId="0" borderId="18" xfId="1" applyFont="1" applyBorder="1" applyAlignment="1">
      <alignment shrinkToFit="1"/>
    </xf>
    <xf numFmtId="0" fontId="13" fillId="3" borderId="0" xfId="1" applyFont="1" applyFill="1" applyAlignment="1">
      <alignment horizontal="center" vertical="center"/>
    </xf>
    <xf numFmtId="0" fontId="14" fillId="0" borderId="0" xfId="1" applyFont="1" applyAlignment="1"/>
    <xf numFmtId="0" fontId="15" fillId="3" borderId="0" xfId="1" applyFont="1" applyFill="1" applyAlignment="1">
      <alignment horizontal="center" vertical="center"/>
    </xf>
    <xf numFmtId="0" fontId="15" fillId="0" borderId="0" xfId="1" applyFont="1" applyAlignment="1"/>
    <xf numFmtId="0" fontId="16" fillId="3" borderId="0" xfId="1" applyFont="1" applyFill="1" applyAlignment="1">
      <alignment horizontal="center" vertical="top" wrapText="1"/>
    </xf>
    <xf numFmtId="0" fontId="14" fillId="0" borderId="0" xfId="1" applyFont="1" applyAlignment="1">
      <alignment vertical="top"/>
    </xf>
    <xf numFmtId="0" fontId="18" fillId="3" borderId="6" xfId="1" applyFont="1" applyFill="1" applyBorder="1" applyAlignment="1">
      <alignment horizontal="left" vertical="center" shrinkToFit="1"/>
    </xf>
    <xf numFmtId="178" fontId="13" fillId="0" borderId="8" xfId="1" applyNumberFormat="1" applyFont="1" applyBorder="1" applyAlignment="1">
      <alignment horizontal="left" vertical="center"/>
    </xf>
    <xf numFmtId="0" fontId="5" fillId="3" borderId="0" xfId="1" applyFont="1" applyFill="1" applyAlignment="1">
      <alignment horizontal="left" vertical="center" wrapText="1"/>
    </xf>
  </cellXfs>
  <cellStyles count="55">
    <cellStyle name="パーセント 2" xfId="3" xr:uid="{00000000-0005-0000-0000-000000000000}"/>
    <cellStyle name="ハイパーリンク" xfId="4" builtinId="8" hidden="1"/>
    <cellStyle name="ハイパーリンク" xfId="6" builtinId="8" hidden="1"/>
    <cellStyle name="ハイパーリンク" xfId="8" builtinId="8" hidden="1"/>
    <cellStyle name="ハイパーリンク" xfId="10" builtinId="8" hidden="1"/>
    <cellStyle name="ハイパーリンク" xfId="12" builtinId="8" hidden="1"/>
    <cellStyle name="ハイパーリンク" xfId="14" builtinId="8" hidden="1"/>
    <cellStyle name="ハイパーリンク" xfId="16" builtinId="8" hidden="1"/>
    <cellStyle name="ハイパーリンク" xfId="18" builtinId="8" hidden="1"/>
    <cellStyle name="ハイパーリンク" xfId="20" builtinId="8" hidden="1"/>
    <cellStyle name="ハイパーリンク" xfId="22" builtinId="8" hidden="1"/>
    <cellStyle name="ハイパーリンク" xfId="24" builtinId="8" hidden="1"/>
    <cellStyle name="ハイパーリンク" xfId="26" builtinId="8" hidden="1"/>
    <cellStyle name="ハイパーリンク" xfId="28" builtinId="8" hidden="1"/>
    <cellStyle name="ハイパーリンク" xfId="30" builtinId="8" hidden="1"/>
    <cellStyle name="ハイパーリンク" xfId="32" builtinId="8" hidden="1"/>
    <cellStyle name="ハイパーリンク" xfId="34" builtinId="8" hidden="1"/>
    <cellStyle name="ハイパーリンク" xfId="36" builtinId="8" hidden="1"/>
    <cellStyle name="ハイパーリンク" xfId="38" builtinId="8" hidden="1"/>
    <cellStyle name="ハイパーリンク" xfId="40" builtinId="8" hidden="1"/>
    <cellStyle name="ハイパーリンク" xfId="42" builtinId="8" hidden="1"/>
    <cellStyle name="ハイパーリンク" xfId="44" builtinId="8" hidden="1"/>
    <cellStyle name="ハイパーリンク" xfId="46" builtinId="8" hidden="1"/>
    <cellStyle name="ハイパーリンク" xfId="48" builtinId="8" hidden="1"/>
    <cellStyle name="ハイパーリンク" xfId="51" builtinId="8" hidden="1"/>
    <cellStyle name="ハイパーリンク" xfId="53" builtinId="8" hidden="1"/>
    <cellStyle name="桁区切り" xfId="50" builtinId="6"/>
    <cellStyle name="桁区切り 3" xfId="2" xr:uid="{00000000-0005-0000-0000-00001A000000}"/>
    <cellStyle name="標準" xfId="0" builtinId="0"/>
    <cellStyle name="標準 2" xfId="1" xr:uid="{00000000-0005-0000-0000-00001D000000}"/>
    <cellStyle name="表示済みのハイパーリンク" xfId="5" builtinId="9" hidden="1"/>
    <cellStyle name="表示済みのハイパーリンク" xfId="7" builtinId="9" hidden="1"/>
    <cellStyle name="表示済みのハイパーリンク" xfId="9" builtinId="9" hidden="1"/>
    <cellStyle name="表示済みのハイパーリンク" xfId="11" builtinId="9" hidden="1"/>
    <cellStyle name="表示済みのハイパーリンク" xfId="13" builtinId="9" hidden="1"/>
    <cellStyle name="表示済みのハイパーリンク" xfId="15" builtinId="9" hidden="1"/>
    <cellStyle name="表示済みのハイパーリンク" xfId="17" builtinId="9" hidden="1"/>
    <cellStyle name="表示済みのハイパーリンク" xfId="19" builtinId="9" hidden="1"/>
    <cellStyle name="表示済みのハイパーリンク" xfId="21" builtinId="9" hidden="1"/>
    <cellStyle name="表示済みのハイパーリンク" xfId="23" builtinId="9" hidden="1"/>
    <cellStyle name="表示済みのハイパーリンク" xfId="25" builtinId="9" hidden="1"/>
    <cellStyle name="表示済みのハイパーリンク" xfId="27" builtinId="9" hidden="1"/>
    <cellStyle name="表示済みのハイパーリンク" xfId="29" builtinId="9" hidden="1"/>
    <cellStyle name="表示済みのハイパーリンク" xfId="31" builtinId="9" hidden="1"/>
    <cellStyle name="表示済みのハイパーリンク" xfId="33" builtinId="9" hidden="1"/>
    <cellStyle name="表示済みのハイパーリンク" xfId="35" builtinId="9" hidden="1"/>
    <cellStyle name="表示済みのハイパーリンク" xfId="37" builtinId="9" hidden="1"/>
    <cellStyle name="表示済みのハイパーリンク" xfId="39" builtinId="9" hidden="1"/>
    <cellStyle name="表示済みのハイパーリンク" xfId="41" builtinId="9" hidden="1"/>
    <cellStyle name="表示済みのハイパーリンク" xfId="43" builtinId="9" hidden="1"/>
    <cellStyle name="表示済みのハイパーリンク" xfId="45" builtinId="9" hidden="1"/>
    <cellStyle name="表示済みのハイパーリンク" xfId="47" builtinId="9" hidden="1"/>
    <cellStyle name="表示済みのハイパーリンク" xfId="49" builtinId="9" hidden="1"/>
    <cellStyle name="表示済みのハイパーリンク" xfId="52" builtinId="9" hidden="1"/>
    <cellStyle name="表示済みのハイパーリンク" xfId="54" builtinId="9" hidden="1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ホワイ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32"/>
  <sheetViews>
    <sheetView showGridLines="0" topLeftCell="A4" workbookViewId="0">
      <selection activeCell="C29" sqref="C29"/>
    </sheetView>
  </sheetViews>
  <sheetFormatPr defaultColWidth="12.6640625" defaultRowHeight="14"/>
  <cols>
    <col min="1" max="1" width="2.33203125" customWidth="1"/>
    <col min="2" max="2" width="19.6640625" bestFit="1" customWidth="1"/>
    <col min="3" max="3" width="17.5" bestFit="1" customWidth="1"/>
  </cols>
  <sheetData>
    <row r="2" spans="2:16"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t="s">
        <v>18</v>
      </c>
    </row>
    <row r="3" spans="2:16">
      <c r="B3" s="13" t="s">
        <v>0</v>
      </c>
      <c r="C3" s="2" t="s">
        <v>2</v>
      </c>
      <c r="D3" s="4">
        <v>2000000</v>
      </c>
      <c r="E3" s="4">
        <v>1300000</v>
      </c>
      <c r="F3" s="4">
        <v>1200000</v>
      </c>
      <c r="G3" s="4">
        <v>2000000</v>
      </c>
      <c r="H3" s="4">
        <v>2300000</v>
      </c>
      <c r="I3" s="4">
        <v>1500000</v>
      </c>
      <c r="J3" s="4">
        <v>1300000</v>
      </c>
      <c r="K3" s="4">
        <v>0</v>
      </c>
      <c r="L3" s="4">
        <v>2000000</v>
      </c>
      <c r="M3" s="4">
        <v>2000000</v>
      </c>
      <c r="N3" s="4">
        <v>1300000</v>
      </c>
      <c r="O3" s="4">
        <v>2000000</v>
      </c>
      <c r="P3" s="6">
        <f>SUM(D3:O3)</f>
        <v>18900000</v>
      </c>
    </row>
    <row r="4" spans="2:16">
      <c r="C4" s="10" t="s">
        <v>3</v>
      </c>
      <c r="D4" s="8">
        <v>707625</v>
      </c>
      <c r="E4" s="8">
        <v>261000</v>
      </c>
      <c r="F4" s="8">
        <v>879000</v>
      </c>
      <c r="G4" s="8">
        <v>2913110</v>
      </c>
      <c r="H4" s="8">
        <v>1172000</v>
      </c>
      <c r="I4" s="8">
        <v>1205000</v>
      </c>
      <c r="J4" s="8">
        <v>800000</v>
      </c>
      <c r="K4" s="79">
        <v>0</v>
      </c>
      <c r="L4" s="8">
        <v>5568741</v>
      </c>
      <c r="M4" s="8">
        <v>1568742</v>
      </c>
      <c r="N4" s="8">
        <v>1256487</v>
      </c>
      <c r="O4" s="8"/>
      <c r="P4" s="6">
        <f t="shared" ref="P4:P6" si="0">SUM(D4:O4)</f>
        <v>16331705</v>
      </c>
    </row>
    <row r="5" spans="2:16">
      <c r="C5" s="2" t="s">
        <v>33</v>
      </c>
      <c r="D5" s="1">
        <v>127224</v>
      </c>
      <c r="E5" s="1">
        <v>41147</v>
      </c>
      <c r="F5" s="1">
        <v>25030</v>
      </c>
      <c r="G5" s="1">
        <v>212308</v>
      </c>
      <c r="H5" s="1">
        <v>3500</v>
      </c>
      <c r="I5" s="1">
        <v>2635</v>
      </c>
      <c r="J5" s="1">
        <v>4780</v>
      </c>
      <c r="K5" s="1">
        <v>0</v>
      </c>
      <c r="L5" s="1">
        <v>270000</v>
      </c>
      <c r="M5" s="1">
        <v>270000</v>
      </c>
      <c r="N5" s="1">
        <v>270000</v>
      </c>
      <c r="O5" s="1"/>
      <c r="P5" s="6">
        <f t="shared" si="0"/>
        <v>1226624</v>
      </c>
    </row>
    <row r="6" spans="2:16">
      <c r="C6" s="2" t="s">
        <v>4</v>
      </c>
      <c r="D6" s="3">
        <f>SUM(D4,-D5)</f>
        <v>580401</v>
      </c>
      <c r="E6" s="3">
        <f t="shared" ref="E6:O6" si="1">SUM(E4,-E5)</f>
        <v>219853</v>
      </c>
      <c r="F6" s="3">
        <f t="shared" si="1"/>
        <v>853970</v>
      </c>
      <c r="G6" s="3">
        <f t="shared" si="1"/>
        <v>2700802</v>
      </c>
      <c r="H6" s="3">
        <f t="shared" si="1"/>
        <v>1168500</v>
      </c>
      <c r="I6" s="3">
        <f t="shared" si="1"/>
        <v>1202365</v>
      </c>
      <c r="J6" s="3">
        <f t="shared" si="1"/>
        <v>795220</v>
      </c>
      <c r="K6" s="3">
        <f t="shared" si="1"/>
        <v>0</v>
      </c>
      <c r="L6" s="3">
        <f t="shared" si="1"/>
        <v>5298741</v>
      </c>
      <c r="M6" s="3">
        <f t="shared" si="1"/>
        <v>1298742</v>
      </c>
      <c r="N6" s="3">
        <f t="shared" si="1"/>
        <v>986487</v>
      </c>
      <c r="O6" s="3">
        <f t="shared" si="1"/>
        <v>0</v>
      </c>
      <c r="P6" s="6">
        <f t="shared" si="0"/>
        <v>15105081</v>
      </c>
    </row>
    <row r="7" spans="2:16">
      <c r="C7" s="11" t="s">
        <v>1</v>
      </c>
      <c r="D7" s="9">
        <f>IF(D4=0,"",D6/D4)</f>
        <v>0.82020985691573922</v>
      </c>
      <c r="E7" s="9">
        <f t="shared" ref="E7:P7" si="2">IF(E4=0,"",E6/E4)</f>
        <v>0.84234865900383138</v>
      </c>
      <c r="F7" s="9">
        <f t="shared" si="2"/>
        <v>0.97152445961319678</v>
      </c>
      <c r="G7" s="9">
        <f t="shared" si="2"/>
        <v>0.9271198135326163</v>
      </c>
      <c r="H7" s="9">
        <f t="shared" si="2"/>
        <v>0.99701365187713309</v>
      </c>
      <c r="I7" s="9">
        <f t="shared" si="2"/>
        <v>0.99781327800829878</v>
      </c>
      <c r="J7" s="9">
        <f t="shared" si="2"/>
        <v>0.99402500000000005</v>
      </c>
      <c r="K7" s="9" t="str">
        <f t="shared" si="2"/>
        <v/>
      </c>
      <c r="L7" s="9">
        <f t="shared" si="2"/>
        <v>0.95151507315567374</v>
      </c>
      <c r="M7" s="9">
        <f t="shared" si="2"/>
        <v>0.82788756851030953</v>
      </c>
      <c r="N7" s="9">
        <f t="shared" si="2"/>
        <v>0.78511516633279932</v>
      </c>
      <c r="O7" s="9" t="str">
        <f t="shared" si="2"/>
        <v/>
      </c>
      <c r="P7" s="9">
        <f t="shared" si="2"/>
        <v>0.92489308372885748</v>
      </c>
    </row>
    <row r="8" spans="2:16">
      <c r="C8" s="80" t="s">
        <v>19</v>
      </c>
      <c r="D8" s="81">
        <f>IF(D3=0,"",D4/D3)</f>
        <v>0.35381249999999997</v>
      </c>
      <c r="E8" s="81">
        <f>IF(E3=0,"",E4/E3)</f>
        <v>0.20076923076923076</v>
      </c>
      <c r="F8" s="81">
        <f t="shared" ref="F8:P8" si="3">IF(F3=0,"",F4/F3)</f>
        <v>0.73250000000000004</v>
      </c>
      <c r="G8" s="81">
        <f t="shared" si="3"/>
        <v>1.456555</v>
      </c>
      <c r="H8" s="81">
        <f t="shared" si="3"/>
        <v>0.50956521739130434</v>
      </c>
      <c r="I8" s="81">
        <f t="shared" si="3"/>
        <v>0.80333333333333334</v>
      </c>
      <c r="J8" s="81">
        <f t="shared" si="3"/>
        <v>0.61538461538461542</v>
      </c>
      <c r="K8" s="81" t="str">
        <f t="shared" si="3"/>
        <v/>
      </c>
      <c r="L8" s="81">
        <f t="shared" si="3"/>
        <v>2.7843705000000001</v>
      </c>
      <c r="M8" s="81">
        <f t="shared" si="3"/>
        <v>0.78437100000000004</v>
      </c>
      <c r="N8" s="81">
        <f t="shared" si="3"/>
        <v>0.9665284615384615</v>
      </c>
      <c r="O8" s="81">
        <f t="shared" si="3"/>
        <v>0</v>
      </c>
      <c r="P8" s="81">
        <f t="shared" si="3"/>
        <v>0.86411137566137564</v>
      </c>
    </row>
    <row r="9" spans="2:16">
      <c r="B9" s="7" t="s">
        <v>17</v>
      </c>
      <c r="C9" s="2" t="s">
        <v>2</v>
      </c>
      <c r="D9" s="3">
        <v>3485017</v>
      </c>
      <c r="E9" s="3">
        <v>3376400</v>
      </c>
      <c r="F9" s="3">
        <v>9353777</v>
      </c>
      <c r="G9" s="3">
        <v>1826600</v>
      </c>
      <c r="H9" s="3">
        <v>3665950</v>
      </c>
      <c r="I9" s="3">
        <v>9009080</v>
      </c>
      <c r="J9" s="3">
        <v>2570050</v>
      </c>
      <c r="K9" s="3">
        <v>5227850</v>
      </c>
      <c r="L9" s="3">
        <v>4880200</v>
      </c>
      <c r="M9" s="3">
        <v>1919050</v>
      </c>
      <c r="N9" s="3">
        <v>2343100</v>
      </c>
      <c r="O9" s="3">
        <v>5061690</v>
      </c>
      <c r="P9" s="5">
        <f>SUM(D9:O9)</f>
        <v>52718764</v>
      </c>
    </row>
    <row r="10" spans="2:16">
      <c r="C10" s="10" t="s">
        <v>3</v>
      </c>
      <c r="D10" s="8">
        <v>3716050</v>
      </c>
      <c r="E10" s="8">
        <v>6700900</v>
      </c>
      <c r="F10" s="8">
        <v>4166520</v>
      </c>
      <c r="G10" s="8">
        <v>2591200</v>
      </c>
      <c r="H10" s="8">
        <v>2362800</v>
      </c>
      <c r="I10" s="8">
        <v>2555350</v>
      </c>
      <c r="J10" s="8">
        <v>708950</v>
      </c>
      <c r="K10" s="8">
        <v>2004950</v>
      </c>
      <c r="L10" s="8">
        <v>5985421</v>
      </c>
      <c r="M10" s="8">
        <v>3545201</v>
      </c>
      <c r="N10" s="8">
        <v>2846597</v>
      </c>
      <c r="O10" s="8"/>
      <c r="P10" s="5">
        <f t="shared" ref="P10:P12" si="4">SUM(D10:O10)</f>
        <v>37183939</v>
      </c>
    </row>
    <row r="11" spans="2:16">
      <c r="C11" s="2" t="s">
        <v>33</v>
      </c>
      <c r="D11" s="1">
        <v>1752664</v>
      </c>
      <c r="E11" s="1">
        <v>1527318</v>
      </c>
      <c r="F11" s="1">
        <v>1580825</v>
      </c>
      <c r="G11" s="1">
        <v>934460</v>
      </c>
      <c r="H11" s="1">
        <v>1862480</v>
      </c>
      <c r="I11" s="1">
        <v>911031</v>
      </c>
      <c r="J11" s="1">
        <v>266919</v>
      </c>
      <c r="K11" s="1">
        <v>671636</v>
      </c>
      <c r="L11" s="1">
        <v>4000000</v>
      </c>
      <c r="M11" s="1">
        <v>900000</v>
      </c>
      <c r="N11" s="1">
        <v>1200000</v>
      </c>
      <c r="O11" s="1"/>
      <c r="P11" s="5">
        <f t="shared" si="4"/>
        <v>15607333</v>
      </c>
    </row>
    <row r="12" spans="2:16">
      <c r="C12" s="2" t="s">
        <v>4</v>
      </c>
      <c r="D12" s="3">
        <f>SUM(D10,-D11)</f>
        <v>1963386</v>
      </c>
      <c r="E12" s="3">
        <f t="shared" ref="E12:O12" si="5">SUM(E10,-E11)</f>
        <v>5173582</v>
      </c>
      <c r="F12" s="3">
        <f t="shared" si="5"/>
        <v>2585695</v>
      </c>
      <c r="G12" s="3">
        <f t="shared" si="5"/>
        <v>1656740</v>
      </c>
      <c r="H12" s="3">
        <f t="shared" si="5"/>
        <v>500320</v>
      </c>
      <c r="I12" s="3">
        <f t="shared" si="5"/>
        <v>1644319</v>
      </c>
      <c r="J12" s="3">
        <f t="shared" si="5"/>
        <v>442031</v>
      </c>
      <c r="K12" s="3">
        <f t="shared" si="5"/>
        <v>1333314</v>
      </c>
      <c r="L12" s="3">
        <f t="shared" si="5"/>
        <v>1985421</v>
      </c>
      <c r="M12" s="3">
        <f t="shared" si="5"/>
        <v>2645201</v>
      </c>
      <c r="N12" s="3">
        <f t="shared" si="5"/>
        <v>1646597</v>
      </c>
      <c r="O12" s="3">
        <f t="shared" si="5"/>
        <v>0</v>
      </c>
      <c r="P12" s="5">
        <f t="shared" si="4"/>
        <v>21576606</v>
      </c>
    </row>
    <row r="13" spans="2:16">
      <c r="C13" s="11" t="s">
        <v>1</v>
      </c>
      <c r="D13" s="9">
        <f>IF(D10=0,"",D12/D10)</f>
        <v>0.52835295542309713</v>
      </c>
      <c r="E13" s="9">
        <f t="shared" ref="E13:P13" si="6">IF(E10=0,"",E12/E10)</f>
        <v>0.77207270665134531</v>
      </c>
      <c r="F13" s="9">
        <f t="shared" si="6"/>
        <v>0.62058864472029418</v>
      </c>
      <c r="G13" s="9">
        <f t="shared" si="6"/>
        <v>0.63937171966656381</v>
      </c>
      <c r="H13" s="9">
        <f t="shared" si="6"/>
        <v>0.2117487726426274</v>
      </c>
      <c r="I13" s="9">
        <f t="shared" si="6"/>
        <v>0.6434809321619348</v>
      </c>
      <c r="J13" s="9">
        <f t="shared" si="6"/>
        <v>0.62350095211227874</v>
      </c>
      <c r="K13" s="9">
        <f t="shared" si="6"/>
        <v>0.66501109753360432</v>
      </c>
      <c r="L13" s="9">
        <f t="shared" si="6"/>
        <v>0.33170949879716061</v>
      </c>
      <c r="M13" s="9">
        <f t="shared" si="6"/>
        <v>0.74613569160112503</v>
      </c>
      <c r="N13" s="9">
        <f t="shared" si="6"/>
        <v>0.57844401578446125</v>
      </c>
      <c r="O13" s="9" t="str">
        <f t="shared" si="6"/>
        <v/>
      </c>
      <c r="P13" s="9">
        <f t="shared" si="6"/>
        <v>0.58026681896181032</v>
      </c>
    </row>
    <row r="14" spans="2:16">
      <c r="C14" s="11" t="s">
        <v>19</v>
      </c>
      <c r="D14" s="9">
        <f>IF(D10=0,"",D10/D9)</f>
        <v>1.0662932203774043</v>
      </c>
      <c r="E14" s="9">
        <f t="shared" ref="E14:P14" si="7">IF(E10=0,"",E10/E9)</f>
        <v>1.9846285985072858</v>
      </c>
      <c r="F14" s="9">
        <f t="shared" si="7"/>
        <v>0.44543717473700728</v>
      </c>
      <c r="G14" s="9">
        <f t="shared" si="7"/>
        <v>1.4185919194131174</v>
      </c>
      <c r="H14" s="9">
        <f t="shared" si="7"/>
        <v>0.6445259755315812</v>
      </c>
      <c r="I14" s="9">
        <f t="shared" si="7"/>
        <v>0.28364161490407458</v>
      </c>
      <c r="J14" s="9">
        <f t="shared" si="7"/>
        <v>0.27585066438396139</v>
      </c>
      <c r="K14" s="9">
        <f t="shared" si="7"/>
        <v>0.38351329896611419</v>
      </c>
      <c r="L14" s="9">
        <f t="shared" si="7"/>
        <v>1.226470431539691</v>
      </c>
      <c r="M14" s="9">
        <f t="shared" si="7"/>
        <v>1.8473729188921602</v>
      </c>
      <c r="N14" s="9">
        <f t="shared" si="7"/>
        <v>1.2148849814348512</v>
      </c>
      <c r="O14" s="9" t="str">
        <f t="shared" si="7"/>
        <v/>
      </c>
      <c r="P14" s="9">
        <f t="shared" si="7"/>
        <v>0.70532645643968439</v>
      </c>
    </row>
    <row r="16" spans="2:16">
      <c r="B16" s="13" t="s">
        <v>20</v>
      </c>
      <c r="C16" s="2" t="s">
        <v>2</v>
      </c>
      <c r="D16" s="5">
        <f>D3+D9</f>
        <v>5485017</v>
      </c>
      <c r="E16" s="5">
        <f t="shared" ref="E16:O16" si="8">E3+E9</f>
        <v>4676400</v>
      </c>
      <c r="F16" s="5">
        <f t="shared" si="8"/>
        <v>10553777</v>
      </c>
      <c r="G16" s="5">
        <f t="shared" si="8"/>
        <v>3826600</v>
      </c>
      <c r="H16" s="5">
        <f t="shared" si="8"/>
        <v>5965950</v>
      </c>
      <c r="I16" s="5">
        <f t="shared" si="8"/>
        <v>10509080</v>
      </c>
      <c r="J16" s="5">
        <f t="shared" si="8"/>
        <v>3870050</v>
      </c>
      <c r="K16" s="5">
        <f t="shared" si="8"/>
        <v>5227850</v>
      </c>
      <c r="L16" s="5">
        <f t="shared" si="8"/>
        <v>6880200</v>
      </c>
      <c r="M16" s="5">
        <f t="shared" si="8"/>
        <v>3919050</v>
      </c>
      <c r="N16" s="5">
        <f t="shared" si="8"/>
        <v>3643100</v>
      </c>
      <c r="O16" s="5">
        <f t="shared" si="8"/>
        <v>7061690</v>
      </c>
      <c r="P16" s="5">
        <f>SUM(D16,O16)</f>
        <v>12546707</v>
      </c>
    </row>
    <row r="17" spans="2:16">
      <c r="C17" s="10" t="s">
        <v>3</v>
      </c>
      <c r="D17" s="5">
        <f t="shared" ref="D17:O18" si="9">D4+D10</f>
        <v>4423675</v>
      </c>
      <c r="E17" s="5">
        <f t="shared" si="9"/>
        <v>6961900</v>
      </c>
      <c r="F17" s="5">
        <f t="shared" si="9"/>
        <v>5045520</v>
      </c>
      <c r="G17" s="5">
        <f t="shared" si="9"/>
        <v>5504310</v>
      </c>
      <c r="H17" s="5">
        <f t="shared" si="9"/>
        <v>3534800</v>
      </c>
      <c r="I17" s="5">
        <f t="shared" si="9"/>
        <v>3760350</v>
      </c>
      <c r="J17" s="5">
        <f t="shared" si="9"/>
        <v>1508950</v>
      </c>
      <c r="K17" s="5">
        <f t="shared" si="9"/>
        <v>2004950</v>
      </c>
      <c r="L17" s="5">
        <f t="shared" si="9"/>
        <v>11554162</v>
      </c>
      <c r="M17" s="5">
        <f t="shared" si="9"/>
        <v>5113943</v>
      </c>
      <c r="N17" s="5">
        <f t="shared" si="9"/>
        <v>4103084</v>
      </c>
      <c r="O17" s="5">
        <f t="shared" si="9"/>
        <v>0</v>
      </c>
      <c r="P17" s="5">
        <f>SUM(D17:O17)</f>
        <v>53515644</v>
      </c>
    </row>
    <row r="18" spans="2:16">
      <c r="C18" s="2" t="s">
        <v>33</v>
      </c>
      <c r="D18" s="5">
        <f t="shared" si="9"/>
        <v>1879888</v>
      </c>
      <c r="E18" s="5">
        <f t="shared" si="9"/>
        <v>1568465</v>
      </c>
      <c r="F18" s="5">
        <f t="shared" si="9"/>
        <v>1605855</v>
      </c>
      <c r="G18" s="5">
        <f t="shared" si="9"/>
        <v>1146768</v>
      </c>
      <c r="H18" s="5">
        <f t="shared" si="9"/>
        <v>1865980</v>
      </c>
      <c r="I18" s="5">
        <f t="shared" si="9"/>
        <v>913666</v>
      </c>
      <c r="J18" s="5">
        <f t="shared" si="9"/>
        <v>271699</v>
      </c>
      <c r="K18" s="5">
        <f t="shared" si="9"/>
        <v>671636</v>
      </c>
      <c r="L18" s="5">
        <f t="shared" si="9"/>
        <v>4270000</v>
      </c>
      <c r="M18" s="5">
        <f t="shared" si="9"/>
        <v>1170000</v>
      </c>
      <c r="N18" s="5">
        <f t="shared" si="9"/>
        <v>1470000</v>
      </c>
      <c r="O18" s="5">
        <f t="shared" si="9"/>
        <v>0</v>
      </c>
      <c r="P18" s="5">
        <f>SUM(D18:O18)</f>
        <v>16833957</v>
      </c>
    </row>
    <row r="19" spans="2:16">
      <c r="C19" s="2" t="s">
        <v>4</v>
      </c>
      <c r="D19" s="3">
        <f>SUM(D17,-D18)</f>
        <v>2543787</v>
      </c>
      <c r="E19" s="3">
        <f t="shared" ref="E19:P19" si="10">SUM(E17,-E18)</f>
        <v>5393435</v>
      </c>
      <c r="F19" s="3">
        <f t="shared" si="10"/>
        <v>3439665</v>
      </c>
      <c r="G19" s="3">
        <f t="shared" si="10"/>
        <v>4357542</v>
      </c>
      <c r="H19" s="3">
        <f t="shared" si="10"/>
        <v>1668820</v>
      </c>
      <c r="I19" s="3">
        <f t="shared" si="10"/>
        <v>2846684</v>
      </c>
      <c r="J19" s="3">
        <f t="shared" si="10"/>
        <v>1237251</v>
      </c>
      <c r="K19" s="3">
        <f t="shared" si="10"/>
        <v>1333314</v>
      </c>
      <c r="L19" s="3">
        <f t="shared" si="10"/>
        <v>7284162</v>
      </c>
      <c r="M19" s="3">
        <f t="shared" si="10"/>
        <v>3943943</v>
      </c>
      <c r="N19" s="3">
        <f t="shared" si="10"/>
        <v>2633084</v>
      </c>
      <c r="O19" s="3">
        <f t="shared" si="10"/>
        <v>0</v>
      </c>
      <c r="P19" s="3">
        <f t="shared" si="10"/>
        <v>36681687</v>
      </c>
    </row>
    <row r="20" spans="2:16">
      <c r="C20" s="11" t="s">
        <v>1</v>
      </c>
      <c r="D20" s="9">
        <f>IF(D17=0,"",D19/D17)</f>
        <v>0.57503930555477067</v>
      </c>
      <c r="E20" s="9">
        <f t="shared" ref="E20:P20" si="11">IF(E17=0,"",E19/E17)</f>
        <v>0.77470733564113248</v>
      </c>
      <c r="F20" s="9">
        <f t="shared" si="11"/>
        <v>0.68172656138514964</v>
      </c>
      <c r="G20" s="9">
        <f t="shared" si="11"/>
        <v>0.79165999008050059</v>
      </c>
      <c r="H20" s="9">
        <f t="shared" si="11"/>
        <v>0.47211157632680772</v>
      </c>
      <c r="I20" s="9">
        <f t="shared" si="11"/>
        <v>0.75702634063318575</v>
      </c>
      <c r="J20" s="9">
        <f t="shared" si="11"/>
        <v>0.8199416813015673</v>
      </c>
      <c r="K20" s="9">
        <f t="shared" si="11"/>
        <v>0.66501109753360432</v>
      </c>
      <c r="L20" s="9">
        <f t="shared" si="11"/>
        <v>0.63043620125804023</v>
      </c>
      <c r="M20" s="9">
        <f t="shared" si="11"/>
        <v>0.77121371904223412</v>
      </c>
      <c r="N20" s="9">
        <f t="shared" si="11"/>
        <v>0.64173290139807038</v>
      </c>
      <c r="O20" s="9" t="str">
        <f t="shared" si="11"/>
        <v/>
      </c>
      <c r="P20" s="9">
        <f t="shared" si="11"/>
        <v>0.6854385794180109</v>
      </c>
    </row>
    <row r="21" spans="2:16">
      <c r="C21" s="11" t="s">
        <v>19</v>
      </c>
      <c r="D21" s="9">
        <f>IF(D17=0,"",D17/D16)</f>
        <v>0.80650160245629143</v>
      </c>
      <c r="E21" s="9">
        <f t="shared" ref="E21:P21" si="12">IF(E17=0,"",E17/E16)</f>
        <v>1.4887306475066291</v>
      </c>
      <c r="F21" s="9">
        <f t="shared" si="12"/>
        <v>0.47807718506843566</v>
      </c>
      <c r="G21" s="9">
        <f t="shared" si="12"/>
        <v>1.4384335964041186</v>
      </c>
      <c r="H21" s="9">
        <f t="shared" si="12"/>
        <v>0.59249574669583216</v>
      </c>
      <c r="I21" s="9">
        <f t="shared" si="12"/>
        <v>0.35781914306485441</v>
      </c>
      <c r="J21" s="9">
        <f t="shared" si="12"/>
        <v>0.38990452319737473</v>
      </c>
      <c r="K21" s="9">
        <f t="shared" si="12"/>
        <v>0.38351329896611419</v>
      </c>
      <c r="L21" s="9">
        <f t="shared" si="12"/>
        <v>1.6793351937443679</v>
      </c>
      <c r="M21" s="9">
        <f t="shared" si="12"/>
        <v>1.3048935328714868</v>
      </c>
      <c r="N21" s="9">
        <f t="shared" si="12"/>
        <v>1.1262617002003787</v>
      </c>
      <c r="O21" s="9" t="str">
        <f t="shared" si="12"/>
        <v/>
      </c>
      <c r="P21" s="9">
        <f t="shared" si="12"/>
        <v>4.2653139186242255</v>
      </c>
    </row>
    <row r="23" spans="2:16">
      <c r="B23" s="14" t="s">
        <v>34</v>
      </c>
      <c r="C23" t="str">
        <f>"今年の売上高は"&amp;TEXT(P17,"#,#")&amp;"円でした。"</f>
        <v>今年の売上高は53,515,644円でした。</v>
      </c>
    </row>
    <row r="24" spans="2:16">
      <c r="C24" t="str">
        <f>"今年の目標達成率は"&amp;TEXT(P21, "#.#0%")&amp;"です。"</f>
        <v>今年の目標達成率は426.53%です。</v>
      </c>
    </row>
    <row r="27" spans="2:16">
      <c r="B27" s="85" t="s">
        <v>66</v>
      </c>
      <c r="C27" s="86" t="s">
        <v>67</v>
      </c>
      <c r="D27" s="87">
        <f>FLOOR(D17,100000)</f>
        <v>4400000</v>
      </c>
      <c r="E27" s="87">
        <f t="shared" ref="E27:P27" si="13">FLOOR(E17,100000)</f>
        <v>6900000</v>
      </c>
      <c r="F27" s="87">
        <f t="shared" si="13"/>
        <v>5000000</v>
      </c>
      <c r="G27" s="87">
        <f t="shared" si="13"/>
        <v>5500000</v>
      </c>
      <c r="H27" s="87">
        <f t="shared" si="13"/>
        <v>3500000</v>
      </c>
      <c r="I27" s="87">
        <f t="shared" si="13"/>
        <v>3700000</v>
      </c>
      <c r="J27" s="87">
        <f t="shared" si="13"/>
        <v>1500000</v>
      </c>
      <c r="K27" s="87">
        <f t="shared" si="13"/>
        <v>2000000</v>
      </c>
      <c r="L27" s="87">
        <f t="shared" si="13"/>
        <v>11500000</v>
      </c>
      <c r="M27" s="87">
        <f t="shared" si="13"/>
        <v>5100000</v>
      </c>
      <c r="N27" s="87">
        <f t="shared" si="13"/>
        <v>4100000</v>
      </c>
      <c r="O27" s="87">
        <f t="shared" si="13"/>
        <v>0</v>
      </c>
      <c r="P27" s="87">
        <f t="shared" si="13"/>
        <v>53500000</v>
      </c>
    </row>
    <row r="28" spans="2:16">
      <c r="C28" s="86" t="s">
        <v>68</v>
      </c>
      <c r="D28" s="87">
        <f>CEILING(D17,100000)</f>
        <v>4500000</v>
      </c>
      <c r="E28" s="87">
        <f t="shared" ref="E28:P28" si="14">CEILING(E17,100000)</f>
        <v>7000000</v>
      </c>
      <c r="F28" s="87">
        <f t="shared" si="14"/>
        <v>5100000</v>
      </c>
      <c r="G28" s="87">
        <f t="shared" si="14"/>
        <v>5600000</v>
      </c>
      <c r="H28" s="87">
        <f t="shared" si="14"/>
        <v>3600000</v>
      </c>
      <c r="I28" s="87">
        <f t="shared" si="14"/>
        <v>3800000</v>
      </c>
      <c r="J28" s="87">
        <f t="shared" si="14"/>
        <v>1600000</v>
      </c>
      <c r="K28" s="87">
        <f t="shared" si="14"/>
        <v>2100000</v>
      </c>
      <c r="L28" s="87">
        <f t="shared" si="14"/>
        <v>11600000</v>
      </c>
      <c r="M28" s="87">
        <f t="shared" si="14"/>
        <v>5200000</v>
      </c>
      <c r="N28" s="87">
        <f t="shared" si="14"/>
        <v>4200000</v>
      </c>
      <c r="O28" s="87">
        <f t="shared" si="14"/>
        <v>0</v>
      </c>
      <c r="P28" s="87">
        <f t="shared" si="14"/>
        <v>53600000</v>
      </c>
    </row>
    <row r="29" spans="2:16">
      <c r="C29" s="86" t="s">
        <v>69</v>
      </c>
      <c r="D29" s="87">
        <f>CEILING(D17*110%,100000)</f>
        <v>4900000</v>
      </c>
      <c r="E29" s="87">
        <f t="shared" ref="E29:P29" si="15">CEILING(E17*110%,100000)</f>
        <v>7700000</v>
      </c>
      <c r="F29" s="87">
        <f t="shared" si="15"/>
        <v>5600000</v>
      </c>
      <c r="G29" s="87">
        <f t="shared" si="15"/>
        <v>6100000</v>
      </c>
      <c r="H29" s="87">
        <f t="shared" si="15"/>
        <v>3900000</v>
      </c>
      <c r="I29" s="87">
        <f t="shared" si="15"/>
        <v>4200000</v>
      </c>
      <c r="J29" s="87">
        <f t="shared" si="15"/>
        <v>1700000</v>
      </c>
      <c r="K29" s="87">
        <f t="shared" si="15"/>
        <v>2300000</v>
      </c>
      <c r="L29" s="87">
        <f t="shared" si="15"/>
        <v>12800000</v>
      </c>
      <c r="M29" s="87">
        <f t="shared" si="15"/>
        <v>5700000</v>
      </c>
      <c r="N29" s="87">
        <f t="shared" si="15"/>
        <v>4600000</v>
      </c>
      <c r="O29" s="87">
        <f t="shared" si="15"/>
        <v>0</v>
      </c>
      <c r="P29" s="87">
        <f t="shared" si="15"/>
        <v>58900000</v>
      </c>
    </row>
    <row r="31" spans="2:16">
      <c r="P31" s="83"/>
    </row>
    <row r="32" spans="2:16">
      <c r="P32" s="84"/>
    </row>
  </sheetData>
  <phoneticPr fontId="3"/>
  <pageMargins left="0.7" right="0.7" top="0.75" bottom="0.75" header="0.3" footer="0.3"/>
  <pageSetup paperSize="9"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11"/>
  <sheetViews>
    <sheetView showGridLines="0" tabSelected="1" topLeftCell="A2" workbookViewId="0">
      <selection activeCell="H8" sqref="H8"/>
    </sheetView>
  </sheetViews>
  <sheetFormatPr defaultColWidth="12.6640625" defaultRowHeight="14"/>
  <cols>
    <col min="1" max="1" width="3.33203125" customWidth="1"/>
    <col min="6" max="6" width="20" customWidth="1"/>
    <col min="7" max="7" width="24.83203125" customWidth="1"/>
    <col min="8" max="8" width="30.1640625" customWidth="1"/>
    <col min="9" max="9" width="30.5" bestFit="1" customWidth="1"/>
    <col min="10" max="10" width="25.5" customWidth="1"/>
  </cols>
  <sheetData>
    <row r="2" spans="2:10">
      <c r="C2" s="90" t="s">
        <v>29</v>
      </c>
      <c r="D2" s="90"/>
      <c r="E2" s="90"/>
      <c r="F2" s="91" t="s">
        <v>30</v>
      </c>
      <c r="G2" s="92"/>
      <c r="H2" s="93"/>
    </row>
    <row r="3" spans="2:10" s="17" customFormat="1" ht="41" customHeight="1">
      <c r="B3"/>
      <c r="C3" s="15" t="s">
        <v>26</v>
      </c>
      <c r="D3" s="15" t="s">
        <v>27</v>
      </c>
      <c r="E3" s="15" t="s">
        <v>28</v>
      </c>
      <c r="F3" s="18" t="s">
        <v>31</v>
      </c>
      <c r="G3" s="18" t="s">
        <v>64</v>
      </c>
      <c r="H3" s="77" t="s">
        <v>73</v>
      </c>
      <c r="I3" s="82" t="s">
        <v>63</v>
      </c>
    </row>
    <row r="4" spans="2:10" ht="35" customHeight="1">
      <c r="B4" s="16" t="s">
        <v>23</v>
      </c>
      <c r="C4" s="19">
        <v>49</v>
      </c>
      <c r="D4" s="19">
        <v>100</v>
      </c>
      <c r="E4" s="19">
        <v>65</v>
      </c>
      <c r="F4" s="76" t="str">
        <f>IF(C4&lt;=50,"Oh No...","")</f>
        <v>Oh No...</v>
      </c>
      <c r="G4" s="76" t="str">
        <f>IF(OR(C4&lt;=50,D4&lt;=50,E4&lt;=50),"不合格","")</f>
        <v>不合格</v>
      </c>
      <c r="H4" s="76" t="str">
        <f>IF(
  AND(C4&gt;=$B$11, D4&gt;=$B$11),
  "よく出来ました！",
  IF(
    AND(C4&gt;=$B$11, E4&gt;=$B$11),
    "よく出来ました！",
    IF(
      AND(D4&gt;=$B$11, E4&gt;=$B$11),
      "よく出来ました！",
      ""
    )
  )
)</f>
        <v>よく出来ました！</v>
      </c>
      <c r="I4" s="76" t="str">
        <f>IF(COUNTIF($C4:$E4,"&gt;=" &amp; $B$11)&gt;=2,"よく出来ました！","")</f>
        <v>よく出来ました！</v>
      </c>
      <c r="J4" t="s">
        <v>70</v>
      </c>
    </row>
    <row r="5" spans="2:10" ht="35" customHeight="1">
      <c r="B5" s="16" t="s">
        <v>24</v>
      </c>
      <c r="C5" s="19">
        <v>56</v>
      </c>
      <c r="D5" s="19">
        <v>56</v>
      </c>
      <c r="E5" s="19">
        <v>100</v>
      </c>
      <c r="F5" s="76" t="str">
        <f t="shared" ref="F5:F7" si="0">IF(C5&lt;=50,"Oh No...","")</f>
        <v/>
      </c>
      <c r="G5" s="76" t="str">
        <f t="shared" ref="G5:G8" si="1">IF(OR(C5&lt;=50,D5&lt;=50,E5&lt;=50),"不合格","")</f>
        <v/>
      </c>
      <c r="H5" s="76" t="str">
        <f>IF(
  AND(C5&gt;=$B$11, D5&gt;=$B$11),
  "よく出来ました！",
  IF(
    AND(C5&gt;=$B$11, E5&gt;=$B$11),
    "よく出来ました！",
    IF(
      AND(D5&gt;=$B$11, E5&gt;=$B$11),
      "よく出来ました！",
      ""
    )
  )
)</f>
        <v/>
      </c>
      <c r="I5" s="76" t="str">
        <f t="shared" ref="I5:I8" si="2">IF(COUNTIF($C5:$E5,"&gt;=" &amp; $B$11)&gt;=2,"よく出来ました！","")</f>
        <v/>
      </c>
    </row>
    <row r="6" spans="2:10" ht="35" customHeight="1">
      <c r="B6" s="16" t="s">
        <v>25</v>
      </c>
      <c r="C6" s="19">
        <v>60</v>
      </c>
      <c r="D6" s="19">
        <v>42</v>
      </c>
      <c r="E6" s="19">
        <v>87</v>
      </c>
      <c r="F6" s="76" t="str">
        <f t="shared" si="0"/>
        <v/>
      </c>
      <c r="G6" s="76" t="str">
        <f t="shared" si="1"/>
        <v>不合格</v>
      </c>
      <c r="H6" s="76" t="str">
        <f t="shared" ref="H6:H8" si="3">IF(
  AND(C6&gt;=$B$11, D6&gt;=$B$11),
  "よく出来ました！",
  IF(
    AND(C6&gt;=$B$11, E6&gt;=$B$11),
    "よく出来ました！",
    IF(
      AND(D6&gt;=$B$11, E6&gt;=$B$11),
      "よく出来ました！",
      ""
    )
  )
)</f>
        <v>よく出来ました！</v>
      </c>
      <c r="I6" s="76" t="str">
        <f t="shared" si="2"/>
        <v>よく出来ました！</v>
      </c>
    </row>
    <row r="7" spans="2:10" ht="35" customHeight="1">
      <c r="B7" s="16" t="s">
        <v>21</v>
      </c>
      <c r="C7" s="19">
        <v>64</v>
      </c>
      <c r="D7" s="19">
        <v>70</v>
      </c>
      <c r="E7" s="19">
        <v>60</v>
      </c>
      <c r="F7" s="76" t="str">
        <f t="shared" si="0"/>
        <v/>
      </c>
      <c r="G7" s="76" t="str">
        <f t="shared" si="1"/>
        <v/>
      </c>
      <c r="H7" s="76" t="str">
        <f t="shared" si="3"/>
        <v>よく出来ました！</v>
      </c>
      <c r="I7" s="76" t="str">
        <f t="shared" si="2"/>
        <v>よく出来ました！</v>
      </c>
    </row>
    <row r="8" spans="2:10" ht="35" customHeight="1">
      <c r="B8" s="16" t="s">
        <v>22</v>
      </c>
      <c r="C8" s="19">
        <v>0</v>
      </c>
      <c r="D8" s="19">
        <v>87</v>
      </c>
      <c r="E8" s="19">
        <v>95</v>
      </c>
      <c r="F8" s="76" t="str">
        <f>IF(C8&lt;=50,"Oh No...","")</f>
        <v>Oh No...</v>
      </c>
      <c r="G8" s="76" t="str">
        <f t="shared" si="1"/>
        <v>不合格</v>
      </c>
      <c r="H8" s="76" t="str">
        <f t="shared" si="3"/>
        <v>よく出来ました！</v>
      </c>
      <c r="I8" s="76" t="str">
        <f t="shared" si="2"/>
        <v>よく出来ました！</v>
      </c>
    </row>
    <row r="9" spans="2:10" ht="10" customHeight="1"/>
    <row r="10" spans="2:10" ht="14.5" thickBot="1">
      <c r="B10" s="20" t="s">
        <v>32</v>
      </c>
    </row>
    <row r="11" spans="2:10" ht="42" customHeight="1" thickBot="1">
      <c r="B11" s="21">
        <v>60</v>
      </c>
    </row>
  </sheetData>
  <mergeCells count="2">
    <mergeCell ref="C2:E2"/>
    <mergeCell ref="F2:H2"/>
  </mergeCells>
  <phoneticPr fontId="3"/>
  <pageMargins left="0.7" right="0.7" top="0.75" bottom="0.75" header="0.3" footer="0.3"/>
  <pageSetup paperSize="9" orientation="portrait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W36"/>
  <sheetViews>
    <sheetView showGridLines="0" topLeftCell="A10" workbookViewId="0">
      <selection activeCell="J37" sqref="J37"/>
    </sheetView>
  </sheetViews>
  <sheetFormatPr defaultColWidth="12.6640625" defaultRowHeight="14"/>
  <cols>
    <col min="1" max="1" width="1.83203125" customWidth="1"/>
    <col min="2" max="2" width="14.6640625" customWidth="1"/>
    <col min="3" max="3" width="34.33203125" customWidth="1"/>
    <col min="4" max="4" width="19.1640625" customWidth="1"/>
    <col min="5" max="5" width="10.6640625" customWidth="1"/>
    <col min="6" max="6" width="8.5" customWidth="1"/>
    <col min="7" max="7" width="9.6640625" customWidth="1"/>
    <col min="8" max="8" width="13.5" customWidth="1"/>
    <col min="9" max="11" width="14.83203125" customWidth="1"/>
    <col min="12" max="12" width="5" customWidth="1"/>
    <col min="13" max="13" width="15.33203125" bestFit="1" customWidth="1"/>
    <col min="14" max="19" width="2.83203125" customWidth="1"/>
    <col min="20" max="20" width="1.83203125" customWidth="1"/>
    <col min="21" max="23" width="2.83203125" customWidth="1"/>
  </cols>
  <sheetData>
    <row r="1" spans="2:11" ht="8" customHeight="1"/>
    <row r="2" spans="2:11">
      <c r="B2" s="116" t="s">
        <v>35</v>
      </c>
      <c r="C2" s="117"/>
      <c r="D2" s="117"/>
      <c r="E2" s="117"/>
      <c r="F2" s="117"/>
      <c r="G2" s="117"/>
      <c r="H2" s="117"/>
      <c r="I2" s="117"/>
      <c r="J2" s="117"/>
      <c r="K2" s="117"/>
    </row>
    <row r="3" spans="2:11" ht="32.5">
      <c r="B3" s="118" t="s">
        <v>36</v>
      </c>
      <c r="C3" s="119"/>
      <c r="D3" s="119"/>
      <c r="E3" s="119"/>
      <c r="F3" s="119"/>
      <c r="G3" s="119"/>
      <c r="H3" s="119"/>
      <c r="I3" s="119"/>
      <c r="J3" s="119"/>
      <c r="K3" s="119"/>
    </row>
    <row r="4" spans="2:11" ht="18" customHeight="1">
      <c r="B4" s="120" t="s">
        <v>37</v>
      </c>
      <c r="C4" s="121"/>
      <c r="D4" s="121"/>
      <c r="E4" s="121"/>
      <c r="F4" s="121"/>
      <c r="G4" s="121"/>
      <c r="H4" s="121"/>
      <c r="I4" s="121"/>
      <c r="J4" s="121"/>
      <c r="K4" s="121"/>
    </row>
    <row r="5" spans="2:11" ht="23.5">
      <c r="B5" s="22"/>
      <c r="C5" s="22"/>
      <c r="D5" s="22"/>
      <c r="E5" s="22"/>
      <c r="F5" s="22"/>
      <c r="G5" s="22"/>
      <c r="H5" s="22"/>
      <c r="I5" s="23"/>
      <c r="J5" s="23"/>
      <c r="K5" s="23"/>
    </row>
    <row r="6" spans="2:11" ht="21">
      <c r="B6" s="122" t="s">
        <v>52</v>
      </c>
      <c r="C6" s="122"/>
      <c r="D6" s="122"/>
      <c r="E6" s="122"/>
      <c r="F6" s="122"/>
      <c r="G6" s="24" t="s">
        <v>38</v>
      </c>
      <c r="H6" s="23"/>
      <c r="I6" s="25" t="s">
        <v>39</v>
      </c>
      <c r="J6" s="123" t="s">
        <v>71</v>
      </c>
      <c r="K6" s="111"/>
    </row>
    <row r="7" spans="2:11">
      <c r="B7" s="23"/>
      <c r="C7" s="23"/>
      <c r="D7" s="23"/>
      <c r="E7" s="23"/>
      <c r="F7" s="23"/>
      <c r="G7" s="23"/>
      <c r="H7" s="23"/>
      <c r="I7" s="26"/>
      <c r="J7" s="26"/>
      <c r="K7" s="26"/>
    </row>
    <row r="8" spans="2:11" ht="18" customHeight="1">
      <c r="B8" s="124" t="s">
        <v>53</v>
      </c>
      <c r="C8" s="124"/>
      <c r="D8" s="27"/>
      <c r="E8" s="27"/>
      <c r="F8" s="27"/>
      <c r="G8" s="27"/>
      <c r="H8" s="23"/>
      <c r="I8" s="28">
        <v>2017</v>
      </c>
      <c r="J8" s="29">
        <v>1</v>
      </c>
      <c r="K8" s="30">
        <v>1</v>
      </c>
    </row>
    <row r="9" spans="2:11">
      <c r="B9" s="109" t="s">
        <v>54</v>
      </c>
      <c r="C9" s="109"/>
      <c r="D9" s="27"/>
      <c r="E9" s="27"/>
      <c r="F9" s="27"/>
      <c r="G9" s="27"/>
      <c r="H9" s="23"/>
      <c r="I9" s="31"/>
      <c r="J9" s="23"/>
      <c r="K9" s="23"/>
    </row>
    <row r="10" spans="2:11" ht="90" customHeight="1">
      <c r="B10" s="74"/>
      <c r="C10" s="74"/>
      <c r="D10" s="27"/>
      <c r="E10" s="27"/>
      <c r="F10" s="27"/>
      <c r="G10" s="27"/>
      <c r="H10" s="23"/>
      <c r="I10" s="31"/>
      <c r="J10" s="23"/>
      <c r="K10" s="23"/>
    </row>
    <row r="11" spans="2:11" ht="26" thickBot="1">
      <c r="B11" s="33" t="s">
        <v>40</v>
      </c>
      <c r="C11" s="34">
        <f>H33+F11</f>
        <v>526358</v>
      </c>
      <c r="D11" s="35"/>
      <c r="E11" s="36" t="s">
        <v>41</v>
      </c>
      <c r="F11" s="75"/>
      <c r="G11" s="37" t="s">
        <v>42</v>
      </c>
      <c r="H11" s="23"/>
      <c r="I11" s="38"/>
      <c r="J11" s="32"/>
      <c r="K11" s="23"/>
    </row>
    <row r="12" spans="2:11" ht="14.5" thickTop="1">
      <c r="B12" s="23"/>
      <c r="C12" s="23"/>
      <c r="D12" s="23"/>
      <c r="E12" s="23"/>
      <c r="F12" s="23"/>
      <c r="G12" s="23"/>
      <c r="H12" s="23"/>
      <c r="I12" s="23"/>
      <c r="J12" s="23"/>
      <c r="K12" s="23"/>
    </row>
    <row r="13" spans="2:11">
      <c r="B13" s="110" t="s">
        <v>43</v>
      </c>
      <c r="C13" s="111"/>
      <c r="D13" s="39" t="s">
        <v>44</v>
      </c>
      <c r="E13" s="40" t="s">
        <v>45</v>
      </c>
      <c r="F13" s="39" t="s">
        <v>46</v>
      </c>
      <c r="G13" s="41" t="s">
        <v>47</v>
      </c>
      <c r="H13" s="40" t="s">
        <v>48</v>
      </c>
      <c r="I13" s="41"/>
      <c r="J13" s="42" t="s">
        <v>49</v>
      </c>
      <c r="K13" s="43"/>
    </row>
    <row r="14" spans="2:11">
      <c r="B14" s="112" t="s">
        <v>61</v>
      </c>
      <c r="C14" s="113"/>
      <c r="D14" s="44"/>
      <c r="E14" s="45"/>
      <c r="F14" s="46"/>
      <c r="G14" s="47"/>
      <c r="H14" s="45"/>
      <c r="I14" s="114"/>
      <c r="J14" s="115"/>
      <c r="K14" s="113"/>
    </row>
    <row r="15" spans="2:11">
      <c r="B15" s="108" t="s">
        <v>55</v>
      </c>
      <c r="C15" s="102"/>
      <c r="D15" s="48"/>
      <c r="E15" s="49">
        <v>300000</v>
      </c>
      <c r="F15" s="50">
        <v>1</v>
      </c>
      <c r="G15" s="51" t="s">
        <v>57</v>
      </c>
      <c r="H15" s="52">
        <f>E15*F15</f>
        <v>300000</v>
      </c>
      <c r="I15" s="103"/>
      <c r="J15" s="106"/>
      <c r="K15" s="107"/>
    </row>
    <row r="16" spans="2:11">
      <c r="B16" s="101" t="s">
        <v>56</v>
      </c>
      <c r="C16" s="102"/>
      <c r="D16" s="48"/>
      <c r="E16" s="49">
        <v>45000</v>
      </c>
      <c r="F16" s="59">
        <v>5</v>
      </c>
      <c r="G16" s="51" t="s">
        <v>58</v>
      </c>
      <c r="H16" s="52">
        <f>E16*F16</f>
        <v>225000</v>
      </c>
      <c r="I16" s="103"/>
      <c r="J16" s="106"/>
      <c r="K16" s="107"/>
    </row>
    <row r="17" spans="2:11">
      <c r="B17" s="101" t="s">
        <v>59</v>
      </c>
      <c r="C17" s="102"/>
      <c r="D17" s="44"/>
      <c r="E17" s="49">
        <v>1358</v>
      </c>
      <c r="F17" s="50">
        <v>1</v>
      </c>
      <c r="G17" s="51" t="s">
        <v>57</v>
      </c>
      <c r="H17" s="52">
        <f>E17*F17</f>
        <v>1358</v>
      </c>
      <c r="I17" s="103" t="s">
        <v>60</v>
      </c>
      <c r="J17" s="106"/>
      <c r="K17" s="107"/>
    </row>
    <row r="18" spans="2:11">
      <c r="B18" s="101" t="s">
        <v>62</v>
      </c>
      <c r="C18" s="102"/>
      <c r="D18" s="44"/>
      <c r="E18" s="49"/>
      <c r="F18" s="53"/>
      <c r="G18" s="51"/>
      <c r="H18" s="52"/>
      <c r="I18" s="103"/>
      <c r="J18" s="106"/>
      <c r="K18" s="107"/>
    </row>
    <row r="19" spans="2:11">
      <c r="B19" s="101"/>
      <c r="C19" s="102"/>
      <c r="D19" s="44"/>
      <c r="E19" s="49"/>
      <c r="F19" s="54"/>
      <c r="G19" s="51"/>
      <c r="H19" s="52"/>
      <c r="I19" s="103"/>
      <c r="J19" s="106"/>
      <c r="K19" s="107"/>
    </row>
    <row r="20" spans="2:11">
      <c r="B20" s="101"/>
      <c r="C20" s="102"/>
      <c r="D20" s="44"/>
      <c r="E20" s="49"/>
      <c r="F20" s="55"/>
      <c r="G20" s="51"/>
      <c r="H20" s="52"/>
      <c r="I20" s="103"/>
      <c r="J20" s="106"/>
      <c r="K20" s="107"/>
    </row>
    <row r="21" spans="2:11">
      <c r="B21" s="101"/>
      <c r="C21" s="102"/>
      <c r="D21" s="44"/>
      <c r="E21" s="49"/>
      <c r="F21" s="55"/>
      <c r="G21" s="51"/>
      <c r="H21" s="52"/>
      <c r="I21" s="56"/>
      <c r="J21" s="57"/>
      <c r="K21" s="58"/>
    </row>
    <row r="22" spans="2:11">
      <c r="B22" s="101"/>
      <c r="C22" s="102"/>
      <c r="D22" s="48"/>
      <c r="E22" s="49"/>
      <c r="F22" s="59"/>
      <c r="G22" s="51"/>
      <c r="H22" s="52"/>
      <c r="I22" s="56"/>
      <c r="J22" s="57"/>
      <c r="K22" s="58"/>
    </row>
    <row r="23" spans="2:11">
      <c r="B23" s="101"/>
      <c r="C23" s="102"/>
      <c r="D23" s="48"/>
      <c r="E23" s="49"/>
      <c r="F23" s="55"/>
      <c r="G23" s="51"/>
      <c r="H23" s="52"/>
      <c r="I23" s="56"/>
      <c r="J23" s="57"/>
      <c r="K23" s="58"/>
    </row>
    <row r="24" spans="2:11">
      <c r="B24" s="101"/>
      <c r="C24" s="102"/>
      <c r="D24" s="48"/>
      <c r="E24" s="49"/>
      <c r="F24" s="55"/>
      <c r="G24" s="51"/>
      <c r="H24" s="52"/>
      <c r="I24" s="56"/>
      <c r="J24" s="57"/>
      <c r="K24" s="58"/>
    </row>
    <row r="25" spans="2:11">
      <c r="B25" s="101"/>
      <c r="C25" s="102"/>
      <c r="D25" s="48"/>
      <c r="E25" s="49"/>
      <c r="F25" s="55"/>
      <c r="G25" s="51"/>
      <c r="H25" s="52"/>
      <c r="I25" s="56"/>
      <c r="J25" s="57"/>
      <c r="K25" s="58"/>
    </row>
    <row r="26" spans="2:11">
      <c r="B26" s="101"/>
      <c r="C26" s="102"/>
      <c r="D26" s="60"/>
      <c r="E26" s="61"/>
      <c r="F26" s="62"/>
      <c r="G26" s="63"/>
      <c r="H26" s="52"/>
      <c r="I26" s="56"/>
      <c r="J26" s="57"/>
      <c r="K26" s="58"/>
    </row>
    <row r="27" spans="2:11">
      <c r="B27" s="101"/>
      <c r="C27" s="102"/>
      <c r="D27" s="48"/>
      <c r="E27" s="49"/>
      <c r="F27" s="49"/>
      <c r="G27" s="51"/>
      <c r="H27" s="52"/>
      <c r="I27" s="56"/>
      <c r="J27" s="57"/>
      <c r="K27" s="58"/>
    </row>
    <row r="28" spans="2:11">
      <c r="B28" s="101"/>
      <c r="C28" s="102"/>
      <c r="D28" s="48"/>
      <c r="E28" s="49"/>
      <c r="F28" s="49"/>
      <c r="G28" s="51"/>
      <c r="H28" s="52"/>
      <c r="I28" s="56"/>
      <c r="J28" s="57"/>
      <c r="K28" s="58"/>
    </row>
    <row r="29" spans="2:11">
      <c r="B29" s="101"/>
      <c r="C29" s="102"/>
      <c r="D29" s="48"/>
      <c r="E29" s="49"/>
      <c r="F29" s="49"/>
      <c r="G29" s="51"/>
      <c r="H29" s="52"/>
      <c r="I29" s="56"/>
      <c r="J29" s="57"/>
      <c r="K29" s="58"/>
    </row>
    <row r="30" spans="2:11">
      <c r="B30" s="101"/>
      <c r="C30" s="102"/>
      <c r="D30" s="48"/>
      <c r="E30" s="49"/>
      <c r="F30" s="49"/>
      <c r="G30" s="51"/>
      <c r="H30" s="52"/>
      <c r="I30" s="56"/>
      <c r="J30" s="57"/>
      <c r="K30" s="58"/>
    </row>
    <row r="31" spans="2:11">
      <c r="B31" s="101"/>
      <c r="C31" s="102"/>
      <c r="D31" s="48"/>
      <c r="E31" s="49"/>
      <c r="F31" s="49"/>
      <c r="G31" s="51"/>
      <c r="H31" s="52"/>
      <c r="I31" s="103"/>
      <c r="J31" s="104"/>
      <c r="K31" s="105"/>
    </row>
    <row r="32" spans="2:11" ht="14.5" thickBot="1">
      <c r="B32" s="94"/>
      <c r="C32" s="95"/>
      <c r="D32" s="64"/>
      <c r="E32" s="65"/>
      <c r="F32" s="66"/>
      <c r="G32" s="67"/>
      <c r="H32" s="66"/>
      <c r="I32" s="96"/>
      <c r="J32" s="97"/>
      <c r="K32" s="98"/>
    </row>
    <row r="33" spans="2:23" ht="17" thickTop="1">
      <c r="B33" s="99" t="s">
        <v>50</v>
      </c>
      <c r="C33" s="100"/>
      <c r="D33" s="68"/>
      <c r="E33" s="69"/>
      <c r="F33" s="70"/>
      <c r="G33" s="71" t="s">
        <v>51</v>
      </c>
      <c r="H33" s="69">
        <f>SUM(H14:H32)</f>
        <v>526358</v>
      </c>
      <c r="I33" s="72"/>
      <c r="J33" s="71"/>
      <c r="K33" s="73"/>
    </row>
    <row r="34" spans="2:23">
      <c r="B34" s="26"/>
      <c r="C34" s="26"/>
      <c r="D34" s="26"/>
      <c r="E34" s="26"/>
      <c r="F34" s="26"/>
      <c r="G34" s="26"/>
      <c r="H34" s="26"/>
      <c r="I34" s="26"/>
      <c r="J34" s="26"/>
      <c r="K34" s="26"/>
    </row>
    <row r="35" spans="2:23" ht="17.5">
      <c r="H35" s="88">
        <f>H33*0.08</f>
        <v>42108.639999999999</v>
      </c>
      <c r="I35" t="s">
        <v>65</v>
      </c>
      <c r="N35" s="78"/>
      <c r="O35" s="78"/>
      <c r="P35" s="78"/>
      <c r="Q35" s="78"/>
      <c r="R35" s="78"/>
      <c r="S35" s="78"/>
      <c r="T35" s="78"/>
      <c r="U35" s="78"/>
      <c r="V35" s="78"/>
      <c r="W35" s="78"/>
    </row>
    <row r="36" spans="2:23" ht="17.5">
      <c r="H36" s="89">
        <f>H33+H35</f>
        <v>568466.64</v>
      </c>
      <c r="I36" t="s">
        <v>72</v>
      </c>
    </row>
  </sheetData>
  <mergeCells count="37">
    <mergeCell ref="B9:C9"/>
    <mergeCell ref="B13:C13"/>
    <mergeCell ref="B14:C14"/>
    <mergeCell ref="I14:K14"/>
    <mergeCell ref="B2:K2"/>
    <mergeCell ref="B3:K3"/>
    <mergeCell ref="B4:K4"/>
    <mergeCell ref="B6:F6"/>
    <mergeCell ref="J6:K6"/>
    <mergeCell ref="B8:C8"/>
    <mergeCell ref="B15:C15"/>
    <mergeCell ref="I15:K15"/>
    <mergeCell ref="B16:C16"/>
    <mergeCell ref="I16:K16"/>
    <mergeCell ref="B17:C17"/>
    <mergeCell ref="I17:K17"/>
    <mergeCell ref="B26:C26"/>
    <mergeCell ref="B18:C18"/>
    <mergeCell ref="I18:K18"/>
    <mergeCell ref="B19:C19"/>
    <mergeCell ref="I19:K19"/>
    <mergeCell ref="B20:C20"/>
    <mergeCell ref="I20:K20"/>
    <mergeCell ref="B21:C21"/>
    <mergeCell ref="B22:C22"/>
    <mergeCell ref="B23:C23"/>
    <mergeCell ref="B24:C24"/>
    <mergeCell ref="B25:C25"/>
    <mergeCell ref="B32:C32"/>
    <mergeCell ref="I32:K32"/>
    <mergeCell ref="B33:C33"/>
    <mergeCell ref="B27:C27"/>
    <mergeCell ref="B28:C28"/>
    <mergeCell ref="B29:C29"/>
    <mergeCell ref="B30:C30"/>
    <mergeCell ref="B31:C31"/>
    <mergeCell ref="I31:K31"/>
  </mergeCells>
  <phoneticPr fontId="3"/>
  <pageMargins left="0.7" right="0.7" top="0.75" bottom="0.75" header="0.3" footer="0.3"/>
  <pageSetup paperSize="9" orientation="portrait" horizontalDpi="4294967292" verticalDpi="42949672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売上管理票</vt:lpstr>
      <vt:lpstr>成績表</vt:lpstr>
      <vt:lpstr>請求書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賢 相澤</cp:lastModifiedBy>
  <dcterms:created xsi:type="dcterms:W3CDTF">2016-12-16T01:54:31Z</dcterms:created>
  <dcterms:modified xsi:type="dcterms:W3CDTF">2025-05-13T05:43:08Z</dcterms:modified>
</cp:coreProperties>
</file>